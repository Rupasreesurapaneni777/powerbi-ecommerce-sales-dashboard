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d391fa22054f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_Guide" sheetId="1" r:id="Rf109f4938297429c"/>
    <x:sheet xmlns:r="http://schemas.openxmlformats.org/officeDocument/2006/relationships" name="Sales_Data" sheetId="2" r:id="Rc93a0b13f2b949df"/>
    <x:sheet xmlns:r="http://schemas.openxmlformats.org/officeDocument/2006/relationships" name="Data_Dictionary" sheetId="3" r:id="R6a9b639481ee4b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₹#,##0.00"/>
    <x:numFmt numFmtId="202" formatCode="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bd38c509754fa4" /><Relationship Type="http://schemas.openxmlformats.org/officeDocument/2006/relationships/theme" Target="/xl/theme/theme1.xml" Id="Re9ac501d93d94b9d" /><Relationship Type="http://schemas.openxmlformats.org/officeDocument/2006/relationships/sharedStrings" Target="/xl/sharedStrings.xml" Id="R8d07d3166912457e" /><Relationship Type="http://schemas.openxmlformats.org/officeDocument/2006/relationships/worksheet" Target="/xl/worksheets/sheet1.xml" Id="Rf109f4938297429c" /><Relationship Type="http://schemas.openxmlformats.org/officeDocument/2006/relationships/worksheet" Target="/xl/worksheets/sheet2.xml" Id="Rc93a0b13f2b949df" /><Relationship Type="http://schemas.openxmlformats.org/officeDocument/2006/relationships/worksheet" Target="/xl/worksheets/sheet3.xml" Id="R6a9b639481ee4bf8" /></Relationships>
</file>

<file path=xl/tables/table1.xml><?xml version="1.0" encoding="utf-8"?>
<x:table xmlns:x="http://schemas.openxmlformats.org/spreadsheetml/2006/main" id="1" name="SalesDataTable" displayName="SalesDataTable" ref="A1:U301" headerRowCount="1" totalsRowCount="0" totalsRowShown="0">
  <x:tableColumns count="21">
    <x:tableColumn id="1" name="Order_ID"/>
    <x:tableColumn id="2" name="Order_Date"/>
    <x:tableColumn id="3" name="Customer_Name"/>
    <x:tableColumn id="4" name="Gender"/>
    <x:tableColumn id="5" name="Age_Group"/>
    <x:tableColumn id="6" name="City"/>
    <x:tableColumn id="7" name="State"/>
    <x:tableColumn id="8" name="Region"/>
    <x:tableColumn id="9" name="Category"/>
    <x:tableColumn id="10" name="Sub_Category"/>
    <x:tableColumn id="11" name="Product"/>
    <x:tableColumn id="12" name="Quantity"/>
    <x:tableColumn id="13" name="Unit_Price"/>
    <x:tableColumn id="14" name="Discount"/>
    <x:tableColumn id="15" name="Cost_Per_Unit"/>
    <x:tableColumn id="16" name="Sales"/>
    <x:tableColumn id="17" name="Cost"/>
    <x:tableColumn id="18" name="Profit"/>
    <x:tableColumn id="19" name="Payment_Mode"/>
    <x:tableColumn id="20" name="Customer_Segment"/>
    <x:tableColumn id="21" name="Sales_Channe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bc55d6646e446c3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5" hidden="0" customWidth="1"/>
  </x:cols>
  <x:sheetData>
    <x:row r="1">
      <x:c r="A1" s="4" t="str">
        <x:v>POWER BI PROJECT: E-COMMERCE SALES &amp; PROFIT DASHBOARD</x:v>
      </x:c>
      <x:c r="B1" s="4"/>
      <x:c r="C1" s="4"/>
      <x:c r="D1" s="4"/>
      <x:c r="E1" s="4"/>
      <x:c r="F1" s="4"/>
      <x:c r="G1" s="4"/>
      <x:c r="H1" s="4"/>
    </x:row>
    <x:row r="3">
      <x:c r="A3" s="9" t="str">
        <x:v>Project Goal</x:v>
      </x:c>
      <x:c r="B3" s="12" t="str">
        <x:v>Analyze sales, profit, customers, products, regions, and monthly trends.</x:v>
      </x:c>
    </x:row>
    <x:row r="4">
      <x:c r="A4" s="9" t="str">
        <x:v>Recommended Pages</x:v>
      </x:c>
      <x:c r="B4" s="12" t="str">
        <x:v>1) Executive Overview  2) Product Performance  3) Customer &amp; Regional Analysis</x:v>
      </x:c>
    </x:row>
    <x:row r="5">
      <x:c r="A5" s="9" t="str">
        <x:v>Main KPIs</x:v>
      </x:c>
      <x:c r="B5" s="12" t="str">
        <x:v>Total Sales, Total Profit, Profit Margin %, Total Orders, Total Quantity, Average Order Value</x:v>
      </x:c>
    </x:row>
    <x:row r="6">
      <x:c r="A6" s="9" t="str">
        <x:v>Slicers</x:v>
      </x:c>
      <x:c r="B6" s="12" t="str">
        <x:v>Order Date, Region, Category, Customer Segment, Sales Channel</x:v>
      </x:c>
    </x:row>
    <x:row r="7">
      <x:c r="A7" s="9" t="str">
        <x:v>Charts</x:v>
      </x:c>
      <x:c r="B7" s="12" t="str">
        <x:v>Monthly Sales Trend, Sales by Category, Profit by Region, Top 10 Products, Segment Share, Channel Performance</x:v>
      </x:c>
    </x:row>
    <x:row r="8">
      <x:c r="A8" s="9" t="str">
        <x:v>Portfolio Title</x:v>
      </x:c>
      <x:c r="B8" s="12" t="str">
        <x:v>E-Commerce Sales &amp; Profit Analysis Dashboard using Power BI</x:v>
      </x:c>
    </x:row>
    <x:row r="9">
      <x:c r="A9" s="9" t="str">
        <x:v>Dataset Size</x:v>
      </x:c>
      <x:c r="B9" s="12" t="str">
        <x:v>300 synthetic order records covering January–December 2025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630000114440918" hidden="0" customWidth="1"/>
    <x:col min="2" max="2" width="9.5" hidden="0" customWidth="1"/>
    <x:col min="3" max="3" width="20" hidden="0" customWidth="1"/>
    <x:col min="4" max="4" width="6.25" hidden="0" customWidth="1"/>
    <x:col min="5" max="5" width="9.130000114440918" hidden="0" customWidth="1"/>
    <x:col min="6" max="6" width="18" hidden="0" customWidth="1"/>
    <x:col min="7" max="7" width="18" hidden="0" customWidth="1"/>
    <x:col min="8" max="8" width="5.75" hidden="0" customWidth="1"/>
    <x:col min="9" max="9" width="14" hidden="0" customWidth="1"/>
    <x:col min="10" max="10" width="11" hidden="0" customWidth="1"/>
    <x:col min="11" max="11" width="22" hidden="0" customWidth="1"/>
    <x:col min="12" max="12" width="7.25" hidden="0" customWidth="1"/>
    <x:col min="13" max="13" width="8.5" hidden="0" customWidth="1"/>
    <x:col min="14" max="14" width="7.25" hidden="0" customWidth="1"/>
    <x:col min="15" max="15" width="11.5" hidden="0" customWidth="1"/>
    <x:col min="16" max="16" width="16.8799991607666" hidden="0" customWidth="1"/>
    <x:col min="17" max="17" width="16.8799991607666" hidden="0" customWidth="1"/>
    <x:col min="18" max="18" width="17.3799991607666" hidden="0" customWidth="1"/>
    <x:col min="19" max="19" width="18" hidden="0" customWidth="1"/>
    <x:col min="20" max="20" width="18" hidden="0" customWidth="1"/>
    <x:col min="21" max="21" width="18" hidden="0" customWidth="1"/>
  </x:cols>
  <x:sheetData>
    <x:row r="1">
      <x:c r="A1" s="16" t="str">
        <x:v>Order_ID</x:v>
      </x:c>
      <x:c r="B1" s="16" t="str">
        <x:v>Order_Date</x:v>
      </x:c>
      <x:c r="C1" s="16" t="str">
        <x:v>Customer_Name</x:v>
      </x:c>
      <x:c r="D1" s="16" t="str">
        <x:v>Gender</x:v>
      </x:c>
      <x:c r="E1" s="16" t="str">
        <x:v>Age_Group</x:v>
      </x:c>
      <x:c r="F1" s="16" t="str">
        <x:v>City</x:v>
      </x:c>
      <x:c r="G1" s="16" t="str">
        <x:v>State</x:v>
      </x:c>
      <x:c r="H1" s="16" t="str">
        <x:v>Region</x:v>
      </x:c>
      <x:c r="I1" s="16" t="str">
        <x:v>Category</x:v>
      </x:c>
      <x:c r="J1" s="16" t="str">
        <x:v>Sub_Category</x:v>
      </x:c>
      <x:c r="K1" s="16" t="str">
        <x:v>Product</x:v>
      </x:c>
      <x:c r="L1" s="16" t="str">
        <x:v>Quantity</x:v>
      </x:c>
      <x:c r="M1" s="16" t="str">
        <x:v>Unit_Price</x:v>
      </x:c>
      <x:c r="N1" s="16" t="str">
        <x:v>Discount</x:v>
      </x:c>
      <x:c r="O1" s="16" t="str">
        <x:v>Cost_Per_Unit</x:v>
      </x:c>
      <x:c r="P1" s="16" t="str">
        <x:v>Sales</x:v>
      </x:c>
      <x:c r="Q1" s="16" t="str">
        <x:v>Cost</x:v>
      </x:c>
      <x:c r="R1" s="16" t="str">
        <x:v>Profit</x:v>
      </x:c>
      <x:c r="S1" s="16" t="str">
        <x:v>Payment_Mode</x:v>
      </x:c>
      <x:c r="T1" s="16" t="str">
        <x:v>Customer_Segment</x:v>
      </x:c>
      <x:c r="U1" s="16" t="str">
        <x:v>Sales_Channel</x:v>
      </x:c>
    </x:row>
    <x:row r="2">
      <x:c r="A2" t="str">
        <x:v>ORD0001</x:v>
      </x:c>
      <x:c r="B2" s="20" t="n">
        <x:v>45985</x:v>
      </x:c>
      <x:c r="C2" t="str">
        <x:v>Ravi Reddy</x:v>
      </x:c>
      <x:c r="D2" t="str">
        <x:v>Male</x:v>
      </x:c>
      <x:c r="E2" t="str">
        <x:v>18-25</x:v>
      </x:c>
      <x:c r="F2" t="str">
        <x:v>Vijayawada</x:v>
      </x:c>
      <x:c r="G2" t="str">
        <x:v>Andhra Pradesh</x:v>
      </x:c>
      <x:c r="H2" t="str">
        <x:v>South</x:v>
      </x:c>
      <x:c r="I2" t="str">
        <x:v>Electronics</x:v>
      </x:c>
      <x:c r="J2" t="str">
        <x:v>Laptop</x:v>
      </x:c>
      <x:c r="K2" t="str">
        <x:v>AeroBook 14</x:v>
      </x:c>
      <x:c r="L2" t="n">
        <x:v>2</x:v>
      </x:c>
      <x:c r="M2" s="22" t="n">
        <x:v>64396.18</x:v>
      </x:c>
      <x:c r="N2" s="24" t="n">
        <x:v>0.2</x:v>
      </x:c>
      <x:c r="O2" s="22" t="n">
        <x:v>48979.57</x:v>
      </x:c>
      <x:c r="P2" s="22" t="n">
        <x:f>L2*M2*(1-N2)</x:f>
        <x:v>103033.888</x:v>
      </x:c>
      <x:c r="Q2" s="22" t="n">
        <x:f>L2*O2</x:f>
        <x:v>97959.14</x:v>
      </x:c>
      <x:c r="R2" s="22" t="n">
        <x:f>P2-Q2</x:f>
        <x:v>5074.748000000007</x:v>
      </x:c>
      <x:c r="S2" t="str">
        <x:v>UPI</x:v>
      </x:c>
      <x:c r="T2" t="str">
        <x:v>Consumer</x:v>
      </x:c>
      <x:c r="U2" t="str">
        <x:v>Online</x:v>
      </x:c>
    </x:row>
    <x:row r="3">
      <x:c r="A3" t="str">
        <x:v>ORD0002</x:v>
      </x:c>
      <x:c r="B3" s="20" t="n">
        <x:v>45777</x:v>
      </x:c>
      <x:c r="C3" t="str">
        <x:v>Nikhil Kumar</x:v>
      </x:c>
      <x:c r="D3" t="str">
        <x:v>Female</x:v>
      </x:c>
      <x:c r="E3" t="str">
        <x:v>26-35</x:v>
      </x:c>
      <x:c r="F3" t="str">
        <x:v>Ahmedabad</x:v>
      </x:c>
      <x:c r="G3" t="str">
        <x:v>Gujarat</x:v>
      </x:c>
      <x:c r="H3" t="str">
        <x:v>West</x:v>
      </x:c>
      <x:c r="I3" t="str">
        <x:v>Electronics</x:v>
      </x:c>
      <x:c r="J3" t="str">
        <x:v>Smartphone</x:v>
      </x:c>
      <x:c r="K3" t="str">
        <x:v>Nova X</x:v>
      </x:c>
      <x:c r="L3" t="n">
        <x:v>4</x:v>
      </x:c>
      <x:c r="M3" s="22" t="n">
        <x:v>33106.02</x:v>
      </x:c>
      <x:c r="N3" s="24" t="n">
        <x:v>0</x:v>
      </x:c>
      <x:c r="O3" s="22" t="n">
        <x:v>24894.6</x:v>
      </x:c>
      <x:c r="P3" s="22" t="n">
        <x:f>L3*M3*(1-N3)</x:f>
        <x:v>132424.08</x:v>
      </x:c>
      <x:c r="Q3" s="22" t="n">
        <x:f>L3*O3</x:f>
        <x:v>99578.4</x:v>
      </x:c>
      <x:c r="R3" s="22" t="n">
        <x:f>P3-Q3</x:f>
        <x:v>32845.67999999999</x:v>
      </x:c>
      <x:c r="S3" t="str">
        <x:v>Cash on Delivery</x:v>
      </x:c>
      <x:c r="T3" t="str">
        <x:v>Corporate</x:v>
      </x:c>
      <x:c r="U3" t="str">
        <x:v>Mobile App</x:v>
      </x:c>
    </x:row>
    <x:row r="4">
      <x:c r="A4" t="str">
        <x:v>ORD0003</x:v>
      </x:c>
      <x:c r="B4" s="20" t="n">
        <x:v>45737</x:v>
      </x:c>
      <x:c r="C4" t="str">
        <x:v>Neha Sharma</x:v>
      </x:c>
      <x:c r="D4" t="str">
        <x:v>Male</x:v>
      </x:c>
      <x:c r="E4" t="str">
        <x:v>18-25</x:v>
      </x:c>
      <x:c r="F4" t="str">
        <x:v>Jaipur</x:v>
      </x:c>
      <x:c r="G4" t="str">
        <x:v>Rajasthan</x:v>
      </x:c>
      <x:c r="H4" t="str">
        <x:v>North</x:v>
      </x:c>
      <x:c r="I4" t="str">
        <x:v>Home &amp; Furniture</x:v>
      </x:c>
      <x:c r="J4" t="str">
        <x:v>Appliances</x:v>
      </x:c>
      <x:c r="K4" t="str">
        <x:v>Mixer Grinder</x:v>
      </x:c>
      <x:c r="L4" t="n">
        <x:v>3</x:v>
      </x:c>
      <x:c r="M4" s="22" t="n">
        <x:v>3932.69</x:v>
      </x:c>
      <x:c r="N4" s="24" t="n">
        <x:v>0.05</x:v>
      </x:c>
      <x:c r="O4" s="22" t="n">
        <x:v>2872.14</x:v>
      </x:c>
      <x:c r="P4" s="22" t="n">
        <x:f>L4*M4*(1-N4)</x:f>
        <x:v>11208.1665</x:v>
      </x:c>
      <x:c r="Q4" s="22" t="n">
        <x:f>L4*O4</x:f>
        <x:v>8616.42</x:v>
      </x:c>
      <x:c r="R4" s="22" t="n">
        <x:f>P4-Q4</x:f>
        <x:v>2591.7464999999993</x:v>
      </x:c>
      <x:c r="S4" t="str">
        <x:v>Cash on Delivery</x:v>
      </x:c>
      <x:c r="T4" t="str">
        <x:v>Consumer</x:v>
      </x:c>
      <x:c r="U4" t="str">
        <x:v>Retail Store</x:v>
      </x:c>
    </x:row>
    <x:row r="5">
      <x:c r="A5" t="str">
        <x:v>ORD0004</x:v>
      </x:c>
      <x:c r="B5" s="20" t="n">
        <x:v>45808</x:v>
      </x:c>
      <x:c r="C5" t="str">
        <x:v>Rohit Reddy</x:v>
      </x:c>
      <x:c r="D5" t="str">
        <x:v>Male</x:v>
      </x:c>
      <x:c r="E5" t="str">
        <x:v>36-45</x:v>
      </x:c>
      <x:c r="F5" t="str">
        <x:v>Vijayawada</x:v>
      </x:c>
      <x:c r="G5" t="str">
        <x:v>Andhra Pradesh</x:v>
      </x:c>
      <x:c r="H5" t="str">
        <x:v>South</x:v>
      </x:c>
      <x:c r="I5" t="str">
        <x:v>Fashion</x:v>
      </x:c>
      <x:c r="J5" t="str">
        <x:v>Women</x:v>
      </x:c>
      <x:c r="K5" t="str">
        <x:v>Kurti</x:v>
      </x:c>
      <x:c r="L5" t="n">
        <x:v>2</x:v>
      </x:c>
      <x:c r="M5" s="22" t="n">
        <x:v>1858.92</x:v>
      </x:c>
      <x:c r="N5" s="24" t="n">
        <x:v>0.05</x:v>
      </x:c>
      <x:c r="O5" s="22" t="n">
        <x:v>963.67</x:v>
      </x:c>
      <x:c r="P5" s="22" t="n">
        <x:f>L5*M5*(1-N5)</x:f>
        <x:v>3531.948</x:v>
      </x:c>
      <x:c r="Q5" s="22" t="n">
        <x:f>L5*O5</x:f>
        <x:v>1927.34</x:v>
      </x:c>
      <x:c r="R5" s="22" t="n">
        <x:f>P5-Q5</x:f>
        <x:v>1604.608</x:v>
      </x:c>
      <x:c r="S5" t="str">
        <x:v>Cash on Delivery</x:v>
      </x:c>
      <x:c r="T5" t="str">
        <x:v>Home Office</x:v>
      </x:c>
      <x:c r="U5" t="str">
        <x:v>Mobile App</x:v>
      </x:c>
    </x:row>
    <x:row r="6">
      <x:c r="A6" t="str">
        <x:v>ORD0005</x:v>
      </x:c>
      <x:c r="B6" s="20" t="n">
        <x:v>45741</x:v>
      </x:c>
      <x:c r="C6" t="str">
        <x:v>Rahul Gupta</x:v>
      </x:c>
      <x:c r="D6" t="str">
        <x:v>Female</x:v>
      </x:c>
      <x:c r="E6" t="str">
        <x:v>26-35</x:v>
      </x:c>
      <x:c r="F6" t="str">
        <x:v>Lucknow</x:v>
      </x:c>
      <x:c r="G6" t="str">
        <x:v>Uttar Pradesh</x:v>
      </x:c>
      <x:c r="H6" t="str">
        <x:v>North</x:v>
      </x:c>
      <x:c r="I6" t="str">
        <x:v>Fashion</x:v>
      </x:c>
      <x:c r="J6" t="str">
        <x:v>Footwear</x:v>
      </x:c>
      <x:c r="K6" t="str">
        <x:v>Running Shoes</x:v>
      </x:c>
      <x:c r="L6" t="n">
        <x:v>1</x:v>
      </x:c>
      <x:c r="M6" s="22" t="n">
        <x:v>3337.32</x:v>
      </x:c>
      <x:c r="N6" s="24" t="n">
        <x:v>0.15</x:v>
      </x:c>
      <x:c r="O6" s="22" t="n">
        <x:v>2158.99</x:v>
      </x:c>
      <x:c r="P6" s="22" t="n">
        <x:f>L6*M6*(1-N6)</x:f>
        <x:v>2836.722</x:v>
      </x:c>
      <x:c r="Q6" s="22" t="n">
        <x:f>L6*O6</x:f>
        <x:v>2158.99</x:v>
      </x:c>
      <x:c r="R6" s="22" t="n">
        <x:f>P6-Q6</x:f>
        <x:v>677.7320000000004</x:v>
      </x:c>
      <x:c r="S6" t="str">
        <x:v>Cash on Delivery</x:v>
      </x:c>
      <x:c r="T6" t="str">
        <x:v>Corporate</x:v>
      </x:c>
      <x:c r="U6" t="str">
        <x:v>Mobile App</x:v>
      </x:c>
    </x:row>
    <x:row r="7">
      <x:c r="A7" t="str">
        <x:v>ORD0006</x:v>
      </x:c>
      <x:c r="B7" s="20" t="n">
        <x:v>45985</x:v>
      </x:c>
      <x:c r="C7" t="str">
        <x:v>Priya Naidu</x:v>
      </x:c>
      <x:c r="D7" t="str">
        <x:v>Male</x:v>
      </x:c>
      <x:c r="E7" t="str">
        <x:v>18-25</x:v>
      </x:c>
      <x:c r="F7" t="str">
        <x:v>Bhubaneswar</x:v>
      </x:c>
      <x:c r="G7" t="str">
        <x:v>Odisha</x:v>
      </x:c>
      <x:c r="H7" t="str">
        <x:v>East</x:v>
      </x:c>
      <x:c r="I7" t="str">
        <x:v>Home &amp; Furniture</x:v>
      </x:c>
      <x:c r="J7" t="str">
        <x:v>Appliances</x:v>
      </x:c>
      <x:c r="K7" t="str">
        <x:v>Mixer Grinder</x:v>
      </x:c>
      <x:c r="L7" t="n">
        <x:v>2</x:v>
      </x:c>
      <x:c r="M7" s="22" t="n">
        <x:v>4430.4</x:v>
      </x:c>
      <x:c r="N7" s="24" t="n">
        <x:v>0</x:v>
      </x:c>
      <x:c r="O7" s="22" t="n">
        <x:v>2964.03</x:v>
      </x:c>
      <x:c r="P7" s="22" t="n">
        <x:f>L7*M7*(1-N7)</x:f>
        <x:v>8860.8</x:v>
      </x:c>
      <x:c r="Q7" s="22" t="n">
        <x:f>L7*O7</x:f>
        <x:v>5928.06</x:v>
      </x:c>
      <x:c r="R7" s="22" t="n">
        <x:f>P7-Q7</x:f>
        <x:v>2932.739999999999</x:v>
      </x:c>
      <x:c r="S7" t="str">
        <x:v>Credit Card</x:v>
      </x:c>
      <x:c r="T7" t="str">
        <x:v>Home Office</x:v>
      </x:c>
      <x:c r="U7" t="str">
        <x:v>Retail Store</x:v>
      </x:c>
    </x:row>
    <x:row r="8">
      <x:c r="A8" t="str">
        <x:v>ORD0007</x:v>
      </x:c>
      <x:c r="B8" s="20" t="n">
        <x:v>45819</x:v>
      </x:c>
      <x:c r="C8" t="str">
        <x:v>Sai Patel</x:v>
      </x:c>
      <x:c r="D8" t="str">
        <x:v>Male</x:v>
      </x:c>
      <x:c r="E8" t="str">
        <x:v>46-60</x:v>
      </x:c>
      <x:c r="F8" t="str">
        <x:v>Chennai</x:v>
      </x:c>
      <x:c r="G8" t="str">
        <x:v>Tamil Nadu</x:v>
      </x:c>
      <x:c r="H8" t="str">
        <x:v>South</x:v>
      </x:c>
      <x:c r="I8" t="str">
        <x:v>Home &amp; Furniture</x:v>
      </x:c>
      <x:c r="J8" t="str">
        <x:v>Appliances</x:v>
      </x:c>
      <x:c r="K8" t="str">
        <x:v>Air Fryer</x:v>
      </x:c>
      <x:c r="L8" t="n">
        <x:v>4</x:v>
      </x:c>
      <x:c r="M8" s="22" t="n">
        <x:v>7374.76</x:v>
      </x:c>
      <x:c r="N8" s="24" t="n">
        <x:v>0</x:v>
      </x:c>
      <x:c r="O8" s="22" t="n">
        <x:v>5269.14</x:v>
      </x:c>
      <x:c r="P8" s="22" t="n">
        <x:f>L8*M8*(1-N8)</x:f>
        <x:v>29499.04</x:v>
      </x:c>
      <x:c r="Q8" s="22" t="n">
        <x:f>L8*O8</x:f>
        <x:v>21076.56</x:v>
      </x:c>
      <x:c r="R8" s="22" t="n">
        <x:f>P8-Q8</x:f>
        <x:v>8422.48</x:v>
      </x:c>
      <x:c r="S8" t="str">
        <x:v>Net Banking</x:v>
      </x:c>
      <x:c r="T8" t="str">
        <x:v>Corporate</x:v>
      </x:c>
      <x:c r="U8" t="str">
        <x:v>Mobile App</x:v>
      </x:c>
    </x:row>
    <x:row r="9">
      <x:c r="A9" t="str">
        <x:v>ORD0008</x:v>
      </x:c>
      <x:c r="B9" s="20" t="n">
        <x:v>45770</x:v>
      </x:c>
      <x:c r="C9" t="str">
        <x:v>Rahul Naidu</x:v>
      </x:c>
      <x:c r="D9" t="str">
        <x:v>Female</x:v>
      </x:c>
      <x:c r="E9" t="str">
        <x:v>46-60</x:v>
      </x:c>
      <x:c r="F9" t="str">
        <x:v>Lucknow</x:v>
      </x:c>
      <x:c r="G9" t="str">
        <x:v>Uttar Pradesh</x:v>
      </x:c>
      <x:c r="H9" t="str">
        <x:v>North</x:v>
      </x:c>
      <x:c r="I9" t="str">
        <x:v>Home &amp; Furniture</x:v>
      </x:c>
      <x:c r="J9" t="str">
        <x:v>Appliances</x:v>
      </x:c>
      <x:c r="K9" t="str">
        <x:v>Air Fryer</x:v>
      </x:c>
      <x:c r="L9" t="n">
        <x:v>1</x:v>
      </x:c>
      <x:c r="M9" s="22" t="n">
        <x:v>7009.09</x:v>
      </x:c>
      <x:c r="N9" s="24" t="n">
        <x:v>0</x:v>
      </x:c>
      <x:c r="O9" s="22" t="n">
        <x:v>4915.22</x:v>
      </x:c>
      <x:c r="P9" s="22" t="n">
        <x:f>L9*M9*(1-N9)</x:f>
        <x:v>7009.09</x:v>
      </x:c>
      <x:c r="Q9" s="22" t="n">
        <x:f>L9*O9</x:f>
        <x:v>4915.22</x:v>
      </x:c>
      <x:c r="R9" s="22" t="n">
        <x:f>P9-Q9</x:f>
        <x:v>2093.87</x:v>
      </x:c>
      <x:c r="S9" t="str">
        <x:v>Cash on Delivery</x:v>
      </x:c>
      <x:c r="T9" t="str">
        <x:v>Home Office</x:v>
      </x:c>
      <x:c r="U9" t="str">
        <x:v>Mobile App</x:v>
      </x:c>
    </x:row>
    <x:row r="10">
      <x:c r="A10" t="str">
        <x:v>ORD0009</x:v>
      </x:c>
      <x:c r="B10" s="20" t="n">
        <x:v>45928</x:v>
      </x:c>
      <x:c r="C10" t="str">
        <x:v>Priya Reddy</x:v>
      </x:c>
      <x:c r="D10" t="str">
        <x:v>Male</x:v>
      </x:c>
      <x:c r="E10" t="str">
        <x:v>46-60</x:v>
      </x:c>
      <x:c r="F10" t="str">
        <x:v>Bhubaneswar</x:v>
      </x:c>
      <x:c r="G10" t="str">
        <x:v>Odisha</x:v>
      </x:c>
      <x:c r="H10" t="str">
        <x:v>East</x:v>
      </x:c>
      <x:c r="I10" t="str">
        <x:v>Fashion</x:v>
      </x:c>
      <x:c r="J10" t="str">
        <x:v>Men</x:v>
      </x:c>
      <x:c r="K10" t="str">
        <x:v>Casual Shirt</x:v>
      </x:c>
      <x:c r="L10" t="n">
        <x:v>5</x:v>
      </x:c>
      <x:c r="M10" s="22" t="n">
        <x:v>1646.15</x:v>
      </x:c>
      <x:c r="N10" s="24" t="n">
        <x:v>0.05</x:v>
      </x:c>
      <x:c r="O10" s="22" t="n">
        <x:v>872.25</x:v>
      </x:c>
      <x:c r="P10" s="22" t="n">
        <x:f>L10*M10*(1-N10)</x:f>
        <x:v>7819.2125</x:v>
      </x:c>
      <x:c r="Q10" s="22" t="n">
        <x:f>L10*O10</x:f>
        <x:v>4361.25</x:v>
      </x:c>
      <x:c r="R10" s="22" t="n">
        <x:f>P10-Q10</x:f>
        <x:v>3457.9624999999996</x:v>
      </x:c>
      <x:c r="S10" t="str">
        <x:v>Credit Card</x:v>
      </x:c>
      <x:c r="T10" t="str">
        <x:v>Corporate</x:v>
      </x:c>
      <x:c r="U10" t="str">
        <x:v>Online</x:v>
      </x:c>
    </x:row>
    <x:row r="11">
      <x:c r="A11" t="str">
        <x:v>ORD0010</x:v>
      </x:c>
      <x:c r="B11" s="20" t="n">
        <x:v>45792</x:v>
      </x:c>
      <x:c r="C11" t="str">
        <x:v>Sai Singh</x:v>
      </x:c>
      <x:c r="D11" t="str">
        <x:v>Female</x:v>
      </x:c>
      <x:c r="E11" t="str">
        <x:v>18-25</x:v>
      </x:c>
      <x:c r="F11" t="str">
        <x:v>Bengaluru</x:v>
      </x:c>
      <x:c r="G11" t="str">
        <x:v>Karnataka</x:v>
      </x:c>
      <x:c r="H11" t="str">
        <x:v>South</x:v>
      </x:c>
      <x:c r="I11" t="str">
        <x:v>Home &amp; Furniture</x:v>
      </x:c>
      <x:c r="J11" t="str">
        <x:v>Furniture</x:v>
      </x:c>
      <x:c r="K11" t="str">
        <x:v>Office Chair</x:v>
      </x:c>
      <x:c r="L11" t="n">
        <x:v>5</x:v>
      </x:c>
      <x:c r="M11" s="22" t="n">
        <x:v>9533.55</x:v>
      </x:c>
      <x:c r="N11" s="24" t="n">
        <x:v>0.15</x:v>
      </x:c>
      <x:c r="O11" s="22" t="n">
        <x:v>6100.03</x:v>
      </x:c>
      <x:c r="P11" s="22" t="n">
        <x:f>L11*M11*(1-N11)</x:f>
        <x:v>40517.5875</x:v>
      </x:c>
      <x:c r="Q11" s="22" t="n">
        <x:f>L11*O11</x:f>
        <x:v>30500.149999999998</x:v>
      </x:c>
      <x:c r="R11" s="22" t="n">
        <x:f>P11-Q11</x:f>
        <x:v>10017.437500000004</x:v>
      </x:c>
      <x:c r="S11" t="str">
        <x:v>Net Banking</x:v>
      </x:c>
      <x:c r="T11" t="str">
        <x:v>Corporate</x:v>
      </x:c>
      <x:c r="U11" t="str">
        <x:v>Mobile App</x:v>
      </x:c>
    </x:row>
    <x:row r="12">
      <x:c r="A12" t="str">
        <x:v>ORD0011</x:v>
      </x:c>
      <x:c r="B12" s="20" t="n">
        <x:v>45667</x:v>
      </x:c>
      <x:c r="C12" t="str">
        <x:v>Rohit Das</x:v>
      </x:c>
      <x:c r="D12" t="str">
        <x:v>Female</x:v>
      </x:c>
      <x:c r="E12" t="str">
        <x:v>18-25</x:v>
      </x:c>
      <x:c r="F12" t="str">
        <x:v>Hyderabad</x:v>
      </x:c>
      <x:c r="G12" t="str">
        <x:v>Telangana</x:v>
      </x:c>
      <x:c r="H12" t="str">
        <x:v>South</x:v>
      </x:c>
      <x:c r="I12" t="str">
        <x:v>Electronics</x:v>
      </x:c>
      <x:c r="J12" t="str">
        <x:v>Headphones</x:v>
      </x:c>
      <x:c r="K12" t="str">
        <x:v>SoundMax Pro</x:v>
      </x:c>
      <x:c r="L12" t="n">
        <x:v>3</x:v>
      </x:c>
      <x:c r="M12" s="22" t="n">
        <x:v>4772.68</x:v>
      </x:c>
      <x:c r="N12" s="24" t="n">
        <x:v>0</x:v>
      </x:c>
      <x:c r="O12" s="22" t="n">
        <x:v>3079.6</x:v>
      </x:c>
      <x:c r="P12" s="22" t="n">
        <x:f>L12*M12*(1-N12)</x:f>
        <x:v>14318.04</x:v>
      </x:c>
      <x:c r="Q12" s="22" t="n">
        <x:f>L12*O12</x:f>
        <x:v>9238.8</x:v>
      </x:c>
      <x:c r="R12" s="22" t="n">
        <x:f>P12-Q12</x:f>
        <x:v>5079.240000000002</x:v>
      </x:c>
      <x:c r="S12" t="str">
        <x:v>Cash on Delivery</x:v>
      </x:c>
      <x:c r="T12" t="str">
        <x:v>Consumer</x:v>
      </x:c>
      <x:c r="U12" t="str">
        <x:v>Retail Store</x:v>
      </x:c>
    </x:row>
    <x:row r="13">
      <x:c r="A13" t="str">
        <x:v>ORD0012</x:v>
      </x:c>
      <x:c r="B13" s="20" t="n">
        <x:v>45722</x:v>
      </x:c>
      <x:c r="C13" t="str">
        <x:v>Kiran Gupta</x:v>
      </x:c>
      <x:c r="D13" t="str">
        <x:v>Female</x:v>
      </x:c>
      <x:c r="E13" t="str">
        <x:v>36-45</x:v>
      </x:c>
      <x:c r="F13" t="str">
        <x:v>Pune</x:v>
      </x:c>
      <x:c r="G13" t="str">
        <x:v>Maharashtra</x:v>
      </x:c>
      <x:c r="H13" t="str">
        <x:v>West</x:v>
      </x:c>
      <x:c r="I13" t="str">
        <x:v>Home &amp; Furniture</x:v>
      </x:c>
      <x:c r="J13" t="str">
        <x:v>Appliances</x:v>
      </x:c>
      <x:c r="K13" t="str">
        <x:v>Air Fryer</x:v>
      </x:c>
      <x:c r="L13" t="n">
        <x:v>5</x:v>
      </x:c>
      <x:c r="M13" s="22" t="n">
        <x:v>8036.22</x:v>
      </x:c>
      <x:c r="N13" s="24" t="n">
        <x:v>0.15</x:v>
      </x:c>
      <x:c r="O13" s="22" t="n">
        <x:v>4963.37</x:v>
      </x:c>
      <x:c r="P13" s="22" t="n">
        <x:f>L13*M13*(1-N13)</x:f>
        <x:v>34153.935</x:v>
      </x:c>
      <x:c r="Q13" s="22" t="n">
        <x:f>L13*O13</x:f>
        <x:v>24816.85</x:v>
      </x:c>
      <x:c r="R13" s="22" t="n">
        <x:f>P13-Q13</x:f>
        <x:v>9337.085</x:v>
      </x:c>
      <x:c r="S13" t="str">
        <x:v>Cash on Delivery</x:v>
      </x:c>
      <x:c r="T13" t="str">
        <x:v>Home Office</x:v>
      </x:c>
      <x:c r="U13" t="str">
        <x:v>Retail Store</x:v>
      </x:c>
    </x:row>
    <x:row r="14">
      <x:c r="A14" t="str">
        <x:v>ORD0013</x:v>
      </x:c>
      <x:c r="B14" s="20" t="n">
        <x:v>45849</x:v>
      </x:c>
      <x:c r="C14" t="str">
        <x:v>Nikhil Gupta</x:v>
      </x:c>
      <x:c r="D14" t="str">
        <x:v>Female</x:v>
      </x:c>
      <x:c r="E14" t="str">
        <x:v>26-35</x:v>
      </x:c>
      <x:c r="F14" t="str">
        <x:v>Hyderabad</x:v>
      </x:c>
      <x:c r="G14" t="str">
        <x:v>Telangana</x:v>
      </x:c>
      <x:c r="H14" t="str">
        <x:v>South</x:v>
      </x:c>
      <x:c r="I14" t="str">
        <x:v>Beauty</x:v>
      </x:c>
      <x:c r="J14" t="str">
        <x:v>Makeup</x:v>
      </x:c>
      <x:c r="K14" t="str">
        <x:v>Makeup Kit</x:v>
      </x:c>
      <x:c r="L14" t="n">
        <x:v>1</x:v>
      </x:c>
      <x:c r="M14" s="22" t="n">
        <x:v>2976.71</x:v>
      </x:c>
      <x:c r="N14" s="24" t="n">
        <x:v>0.05</x:v>
      </x:c>
      <x:c r="O14" s="22" t="n">
        <x:v>1714.71</x:v>
      </x:c>
      <x:c r="P14" s="22" t="n">
        <x:f>L14*M14*(1-N14)</x:f>
        <x:v>2827.8745</x:v>
      </x:c>
      <x:c r="Q14" s="22" t="n">
        <x:f>L14*O14</x:f>
        <x:v>1714.71</x:v>
      </x:c>
      <x:c r="R14" s="22" t="n">
        <x:f>P14-Q14</x:f>
        <x:v>1113.1644999999999</x:v>
      </x:c>
      <x:c r="S14" t="str">
        <x:v>UPI</x:v>
      </x:c>
      <x:c r="T14" t="str">
        <x:v>Consumer</x:v>
      </x:c>
      <x:c r="U14" t="str">
        <x:v>Retail Store</x:v>
      </x:c>
    </x:row>
    <x:row r="15">
      <x:c r="A15" t="str">
        <x:v>ORD0014</x:v>
      </x:c>
      <x:c r="B15" s="20" t="n">
        <x:v>45981</x:v>
      </x:c>
      <x:c r="C15" t="str">
        <x:v>Rohit Kumar</x:v>
      </x:c>
      <x:c r="D15" t="str">
        <x:v>Male</x:v>
      </x:c>
      <x:c r="E15" t="str">
        <x:v>26-35</x:v>
      </x:c>
      <x:c r="F15" t="str">
        <x:v>Delhi</x:v>
      </x:c>
      <x:c r="G15" t="str">
        <x:v>Delhi</x:v>
      </x:c>
      <x:c r="H15" t="str">
        <x:v>North</x:v>
      </x:c>
      <x:c r="I15" t="str">
        <x:v>Electronics</x:v>
      </x:c>
      <x:c r="J15" t="str">
        <x:v>Smartphone</x:v>
      </x:c>
      <x:c r="K15" t="str">
        <x:v>Nova X</x:v>
      </x:c>
      <x:c r="L15" t="n">
        <x:v>3</x:v>
      </x:c>
      <x:c r="M15" s="22" t="n">
        <x:v>29785.09</x:v>
      </x:c>
      <x:c r="N15" s="24" t="n">
        <x:v>0</x:v>
      </x:c>
      <x:c r="O15" s="22" t="n">
        <x:v>23581.57</x:v>
      </x:c>
      <x:c r="P15" s="22" t="n">
        <x:f>L15*M15*(1-N15)</x:f>
        <x:v>89355.27</x:v>
      </x:c>
      <x:c r="Q15" s="22" t="n">
        <x:f>L15*O15</x:f>
        <x:v>70744.70999999999</x:v>
      </x:c>
      <x:c r="R15" s="22" t="n">
        <x:f>P15-Q15</x:f>
        <x:v>18610.560000000012</x:v>
      </x:c>
      <x:c r="S15" t="str">
        <x:v>Net Banking</x:v>
      </x:c>
      <x:c r="T15" t="str">
        <x:v>Consumer</x:v>
      </x:c>
      <x:c r="U15" t="str">
        <x:v>Retail Store</x:v>
      </x:c>
    </x:row>
    <x:row r="16">
      <x:c r="A16" t="str">
        <x:v>ORD0015</x:v>
      </x:c>
      <x:c r="B16" s="20" t="n">
        <x:v>45950</x:v>
      </x:c>
      <x:c r="C16" t="str">
        <x:v>Sree Singh</x:v>
      </x:c>
      <x:c r="D16" t="str">
        <x:v>Male</x:v>
      </x:c>
      <x:c r="E16" t="str">
        <x:v>46-60</x:v>
      </x:c>
      <x:c r="F16" t="str">
        <x:v>Vijayawada</x:v>
      </x:c>
      <x:c r="G16" t="str">
        <x:v>Andhra Pradesh</x:v>
      </x:c>
      <x:c r="H16" t="str">
        <x:v>South</x:v>
      </x:c>
      <x:c r="I16" t="str">
        <x:v>Beauty</x:v>
      </x:c>
      <x:c r="J16" t="str">
        <x:v>Skincare</x:v>
      </x:c>
      <x:c r="K16" t="str">
        <x:v>Face Serum</x:v>
      </x:c>
      <x:c r="L16" t="n">
        <x:v>2</x:v>
      </x:c>
      <x:c r="M16" s="22" t="n">
        <x:v>1150.09</x:v>
      </x:c>
      <x:c r="N16" s="24" t="n">
        <x:v>0</x:v>
      </x:c>
      <x:c r="O16" s="22" t="n">
        <x:v>614.76</x:v>
      </x:c>
      <x:c r="P16" s="22" t="n">
        <x:f>L16*M16*(1-N16)</x:f>
        <x:v>2300.18</x:v>
      </x:c>
      <x:c r="Q16" s="22" t="n">
        <x:f>L16*O16</x:f>
        <x:v>1229.52</x:v>
      </x:c>
      <x:c r="R16" s="22" t="n">
        <x:f>P16-Q16</x:f>
        <x:v>1070.6599999999999</x:v>
      </x:c>
      <x:c r="S16" t="str">
        <x:v>Cash on Delivery</x:v>
      </x:c>
      <x:c r="T16" t="str">
        <x:v>Home Office</x:v>
      </x:c>
      <x:c r="U16" t="str">
        <x:v>Online</x:v>
      </x:c>
    </x:row>
    <x:row r="17">
      <x:c r="A17" t="str">
        <x:v>ORD0016</x:v>
      </x:c>
      <x:c r="B17" s="20" t="n">
        <x:v>46002</x:v>
      </x:c>
      <x:c r="C17" t="str">
        <x:v>Kiran Gupta</x:v>
      </x:c>
      <x:c r="D17" t="str">
        <x:v>Male</x:v>
      </x:c>
      <x:c r="E17" t="str">
        <x:v>26-35</x:v>
      </x:c>
      <x:c r="F17" t="str">
        <x:v>Bengaluru</x:v>
      </x:c>
      <x:c r="G17" t="str">
        <x:v>Karnataka</x:v>
      </x:c>
      <x:c r="H17" t="str">
        <x:v>South</x:v>
      </x:c>
      <x:c r="I17" t="str">
        <x:v>Electronics</x:v>
      </x:c>
      <x:c r="J17" t="str">
        <x:v>Laptop</x:v>
      </x:c>
      <x:c r="K17" t="str">
        <x:v>AeroBook 14</x:v>
      </x:c>
      <x:c r="L17" t="n">
        <x:v>1</x:v>
      </x:c>
      <x:c r="M17" s="22" t="n">
        <x:v>61034</x:v>
      </x:c>
      <x:c r="N17" s="24" t="n">
        <x:v>0</x:v>
      </x:c>
      <x:c r="O17" s="22" t="n">
        <x:v>49357.21</x:v>
      </x:c>
      <x:c r="P17" s="22" t="n">
        <x:f>L17*M17*(1-N17)</x:f>
        <x:v>61034</x:v>
      </x:c>
      <x:c r="Q17" s="22" t="n">
        <x:f>L17*O17</x:f>
        <x:v>49357.21</x:v>
      </x:c>
      <x:c r="R17" s="22" t="n">
        <x:f>P17-Q17</x:f>
        <x:v>11676.79</x:v>
      </x:c>
      <x:c r="S17" t="str">
        <x:v>Cash on Delivery</x:v>
      </x:c>
      <x:c r="T17" t="str">
        <x:v>Consumer</x:v>
      </x:c>
      <x:c r="U17" t="str">
        <x:v>Mobile App</x:v>
      </x:c>
    </x:row>
    <x:row r="18">
      <x:c r="A18" t="str">
        <x:v>ORD0017</x:v>
      </x:c>
      <x:c r="B18" s="20" t="n">
        <x:v>45894</x:v>
      </x:c>
      <x:c r="C18" t="str">
        <x:v>Ravi Sharma</x:v>
      </x:c>
      <x:c r="D18" t="str">
        <x:v>Female</x:v>
      </x:c>
      <x:c r="E18" t="str">
        <x:v>26-35</x:v>
      </x:c>
      <x:c r="F18" t="str">
        <x:v>Hyderabad</x:v>
      </x:c>
      <x:c r="G18" t="str">
        <x:v>Telangana</x:v>
      </x:c>
      <x:c r="H18" t="str">
        <x:v>South</x:v>
      </x:c>
      <x:c r="I18" t="str">
        <x:v>Home &amp; Furniture</x:v>
      </x:c>
      <x:c r="J18" t="str">
        <x:v>Furniture</x:v>
      </x:c>
      <x:c r="K18" t="str">
        <x:v>Office Chair</x:v>
      </x:c>
      <x:c r="L18" t="n">
        <x:v>5</x:v>
      </x:c>
      <x:c r="M18" s="22" t="n">
        <x:v>8918.11</x:v>
      </x:c>
      <x:c r="N18" s="24" t="n">
        <x:v>0</x:v>
      </x:c>
      <x:c r="O18" s="22" t="n">
        <x:v>6379.23</x:v>
      </x:c>
      <x:c r="P18" s="22" t="n">
        <x:f>L18*M18*(1-N18)</x:f>
        <x:v>44590.55</x:v>
      </x:c>
      <x:c r="Q18" s="22" t="n">
        <x:f>L18*O18</x:f>
        <x:v>31896.149999999998</x:v>
      </x:c>
      <x:c r="R18" s="22" t="n">
        <x:f>P18-Q18</x:f>
        <x:v>12694.400000000005</x:v>
      </x:c>
      <x:c r="S18" t="str">
        <x:v>Credit Card</x:v>
      </x:c>
      <x:c r="T18" t="str">
        <x:v>Corporate</x:v>
      </x:c>
      <x:c r="U18" t="str">
        <x:v>Mobile App</x:v>
      </x:c>
    </x:row>
    <x:row r="19">
      <x:c r="A19" t="str">
        <x:v>ORD0018</x:v>
      </x:c>
      <x:c r="B19" s="20" t="n">
        <x:v>45904</x:v>
      </x:c>
      <x:c r="C19" t="str">
        <x:v>Pooja Kumar</x:v>
      </x:c>
      <x:c r="D19" t="str">
        <x:v>Male</x:v>
      </x:c>
      <x:c r="E19" t="str">
        <x:v>46-60</x:v>
      </x:c>
      <x:c r="F19" t="str">
        <x:v>Chennai</x:v>
      </x:c>
      <x:c r="G19" t="str">
        <x:v>Tamil Nadu</x:v>
      </x:c>
      <x:c r="H19" t="str">
        <x:v>South</x:v>
      </x:c>
      <x:c r="I19" t="str">
        <x:v>Home &amp; Furniture</x:v>
      </x:c>
      <x:c r="J19" t="str">
        <x:v>Appliances</x:v>
      </x:c>
      <x:c r="K19" t="str">
        <x:v>Air Fryer</x:v>
      </x:c>
      <x:c r="L19" t="n">
        <x:v>1</x:v>
      </x:c>
      <x:c r="M19" s="22" t="n">
        <x:v>7982.93</x:v>
      </x:c>
      <x:c r="N19" s="24" t="n">
        <x:v>0.1</x:v>
      </x:c>
      <x:c r="O19" s="22" t="n">
        <x:v>4963.17</x:v>
      </x:c>
      <x:c r="P19" s="22" t="n">
        <x:f>L19*M19*(1-N19)</x:f>
        <x:v>7184.637000000001</x:v>
      </x:c>
      <x:c r="Q19" s="22" t="n">
        <x:f>L19*O19</x:f>
        <x:v>4963.17</x:v>
      </x:c>
      <x:c r="R19" s="22" t="n">
        <x:f>P19-Q19</x:f>
        <x:v>2221.4670000000006</x:v>
      </x:c>
      <x:c r="S19" t="str">
        <x:v>Credit Card</x:v>
      </x:c>
      <x:c r="T19" t="str">
        <x:v>Consumer</x:v>
      </x:c>
      <x:c r="U19" t="str">
        <x:v>Mobile App</x:v>
      </x:c>
    </x:row>
    <x:row r="20">
      <x:c r="A20" t="str">
        <x:v>ORD0019</x:v>
      </x:c>
      <x:c r="B20" s="20" t="n">
        <x:v>45769</x:v>
      </x:c>
      <x:c r="C20" t="str">
        <x:v>Meena Rao</x:v>
      </x:c>
      <x:c r="D20" t="str">
        <x:v>Female</x:v>
      </x:c>
      <x:c r="E20" t="str">
        <x:v>18-25</x:v>
      </x:c>
      <x:c r="F20" t="str">
        <x:v>Delhi</x:v>
      </x:c>
      <x:c r="G20" t="str">
        <x:v>Delhi</x:v>
      </x:c>
      <x:c r="H20" t="str">
        <x:v>North</x:v>
      </x:c>
      <x:c r="I20" t="str">
        <x:v>Electronics</x:v>
      </x:c>
      <x:c r="J20" t="str">
        <x:v>Laptop</x:v>
      </x:c>
      <x:c r="K20" t="str">
        <x:v>AeroBook 14</x:v>
      </x:c>
      <x:c r="L20" t="n">
        <x:v>5</x:v>
      </x:c>
      <x:c r="M20" s="22" t="n">
        <x:v>64459.92</x:v>
      </x:c>
      <x:c r="N20" s="24" t="n">
        <x:v>0.1</x:v>
      </x:c>
      <x:c r="O20" s="22" t="n">
        <x:v>48228.66</x:v>
      </x:c>
      <x:c r="P20" s="22" t="n">
        <x:f>L20*M20*(1-N20)</x:f>
        <x:v>290069.64</x:v>
      </x:c>
      <x:c r="Q20" s="22" t="n">
        <x:f>L20*O20</x:f>
        <x:v>241143.30000000002</x:v>
      </x:c>
      <x:c r="R20" s="22" t="n">
        <x:f>P20-Q20</x:f>
        <x:v>48926.34</x:v>
      </x:c>
      <x:c r="S20" t="str">
        <x:v>Credit Card</x:v>
      </x:c>
      <x:c r="T20" t="str">
        <x:v>Consumer</x:v>
      </x:c>
      <x:c r="U20" t="str">
        <x:v>Retail Store</x:v>
      </x:c>
    </x:row>
    <x:row r="21">
      <x:c r="A21" t="str">
        <x:v>ORD0020</x:v>
      </x:c>
      <x:c r="B21" s="20" t="n">
        <x:v>45692</x:v>
      </x:c>
      <x:c r="C21" t="str">
        <x:v>Vivaan Das</x:v>
      </x:c>
      <x:c r="D21" t="str">
        <x:v>Female</x:v>
      </x:c>
      <x:c r="E21" t="str">
        <x:v>46-60</x:v>
      </x:c>
      <x:c r="F21" t="str">
        <x:v>Jaipur</x:v>
      </x:c>
      <x:c r="G21" t="str">
        <x:v>Rajasthan</x:v>
      </x:c>
      <x:c r="H21" t="str">
        <x:v>North</x:v>
      </x:c>
      <x:c r="I21" t="str">
        <x:v>Home &amp; Furniture</x:v>
      </x:c>
      <x:c r="J21" t="str">
        <x:v>Appliances</x:v>
      </x:c>
      <x:c r="K21" t="str">
        <x:v>Air Fryer</x:v>
      </x:c>
      <x:c r="L21" t="n">
        <x:v>2</x:v>
      </x:c>
      <x:c r="M21" s="22" t="n">
        <x:v>7043.86</x:v>
      </x:c>
      <x:c r="N21" s="24" t="n">
        <x:v>0.15</x:v>
      </x:c>
      <x:c r="O21" s="22" t="n">
        <x:v>5259.24</x:v>
      </x:c>
      <x:c r="P21" s="22" t="n">
        <x:f>L21*M21*(1-N21)</x:f>
        <x:v>11974.562</x:v>
      </x:c>
      <x:c r="Q21" s="22" t="n">
        <x:f>L21*O21</x:f>
        <x:v>10518.48</x:v>
      </x:c>
      <x:c r="R21" s="22" t="n">
        <x:f>P21-Q21</x:f>
        <x:v>1456.0820000000003</x:v>
      </x:c>
      <x:c r="S21" t="str">
        <x:v>Net Banking</x:v>
      </x:c>
      <x:c r="T21" t="str">
        <x:v>Home Office</x:v>
      </x:c>
      <x:c r="U21" t="str">
        <x:v>Retail Store</x:v>
      </x:c>
    </x:row>
    <x:row r="22">
      <x:c r="A22" t="str">
        <x:v>ORD0021</x:v>
      </x:c>
      <x:c r="B22" s="20" t="n">
        <x:v>45819</x:v>
      </x:c>
      <x:c r="C22" t="str">
        <x:v>Ananya Verma</x:v>
      </x:c>
      <x:c r="D22" t="str">
        <x:v>Male</x:v>
      </x:c>
      <x:c r="E22" t="str">
        <x:v>18-25</x:v>
      </x:c>
      <x:c r="F22" t="str">
        <x:v>Visakhapatnam</x:v>
      </x:c>
      <x:c r="G22" t="str">
        <x:v>Andhra Pradesh</x:v>
      </x:c>
      <x:c r="H22" t="str">
        <x:v>South</x:v>
      </x:c>
      <x:c r="I22" t="str">
        <x:v>Fashion</x:v>
      </x:c>
      <x:c r="J22" t="str">
        <x:v>Women</x:v>
      </x:c>
      <x:c r="K22" t="str">
        <x:v>Kurti</x:v>
      </x:c>
      <x:c r="L22" t="n">
        <x:v>3</x:v>
      </x:c>
      <x:c r="M22" s="22" t="n">
        <x:v>1848.88</x:v>
      </x:c>
      <x:c r="N22" s="24" t="n">
        <x:v>0.1</x:v>
      </x:c>
      <x:c r="O22" s="22" t="n">
        <x:v>985.13</x:v>
      </x:c>
      <x:c r="P22" s="22" t="n">
        <x:f>L22*M22*(1-N22)</x:f>
        <x:v>4991.976000000001</x:v>
      </x:c>
      <x:c r="Q22" s="22" t="n">
        <x:f>L22*O22</x:f>
        <x:v>2955.39</x:v>
      </x:c>
      <x:c r="R22" s="22" t="n">
        <x:f>P22-Q22</x:f>
        <x:v>2036.5860000000007</x:v>
      </x:c>
      <x:c r="S22" t="str">
        <x:v>UPI</x:v>
      </x:c>
      <x:c r="T22" t="str">
        <x:v>Corporate</x:v>
      </x:c>
      <x:c r="U22" t="str">
        <x:v>Retail Store</x:v>
      </x:c>
    </x:row>
    <x:row r="23">
      <x:c r="A23" t="str">
        <x:v>ORD0022</x:v>
      </x:c>
      <x:c r="B23" s="20" t="n">
        <x:v>45946</x:v>
      </x:c>
      <x:c r="C23" t="str">
        <x:v>Rohit Singh</x:v>
      </x:c>
      <x:c r="D23" t="str">
        <x:v>Male</x:v>
      </x:c>
      <x:c r="E23" t="str">
        <x:v>26-35</x:v>
      </x:c>
      <x:c r="F23" t="str">
        <x:v>Vijayawada</x:v>
      </x:c>
      <x:c r="G23" t="str">
        <x:v>Andhra Pradesh</x:v>
      </x:c>
      <x:c r="H23" t="str">
        <x:v>South</x:v>
      </x:c>
      <x:c r="I23" t="str">
        <x:v>Electronics</x:v>
      </x:c>
      <x:c r="J23" t="str">
        <x:v>Laptop</x:v>
      </x:c>
      <x:c r="K23" t="str">
        <x:v>AeroBook 14</x:v>
      </x:c>
      <x:c r="L23" t="n">
        <x:v>2</x:v>
      </x:c>
      <x:c r="M23" s="22" t="n">
        <x:v>62373.33</x:v>
      </x:c>
      <x:c r="N23" s="24" t="n">
        <x:v>0.05</x:v>
      </x:c>
      <x:c r="O23" s="22" t="n">
        <x:v>50023.54</x:v>
      </x:c>
      <x:c r="P23" s="22" t="n">
        <x:f>L23*M23*(1-N23)</x:f>
        <x:v>118509.327</x:v>
      </x:c>
      <x:c r="Q23" s="22" t="n">
        <x:f>L23*O23</x:f>
        <x:v>100047.08</x:v>
      </x:c>
      <x:c r="R23" s="22" t="n">
        <x:f>P23-Q23</x:f>
        <x:v>18462.247000000003</x:v>
      </x:c>
      <x:c r="S23" t="str">
        <x:v>Cash on Delivery</x:v>
      </x:c>
      <x:c r="T23" t="str">
        <x:v>Home Office</x:v>
      </x:c>
      <x:c r="U23" t="str">
        <x:v>Retail Store</x:v>
      </x:c>
    </x:row>
    <x:row r="24">
      <x:c r="A24" t="str">
        <x:v>ORD0023</x:v>
      </x:c>
      <x:c r="B24" s="20" t="n">
        <x:v>45812</x:v>
      </x:c>
      <x:c r="C24" t="str">
        <x:v>Arjun Gupta</x:v>
      </x:c>
      <x:c r="D24" t="str">
        <x:v>Female</x:v>
      </x:c>
      <x:c r="E24" t="str">
        <x:v>36-45</x:v>
      </x:c>
      <x:c r="F24" t="str">
        <x:v>Vijayawada</x:v>
      </x:c>
      <x:c r="G24" t="str">
        <x:v>Andhra Pradesh</x:v>
      </x:c>
      <x:c r="H24" t="str">
        <x:v>South</x:v>
      </x:c>
      <x:c r="I24" t="str">
        <x:v>Electronics</x:v>
      </x:c>
      <x:c r="J24" t="str">
        <x:v>Headphones</x:v>
      </x:c>
      <x:c r="K24" t="str">
        <x:v>SoundMax Pro</x:v>
      </x:c>
      <x:c r="L24" t="n">
        <x:v>2</x:v>
      </x:c>
      <x:c r="M24" s="22" t="n">
        <x:v>4810.86</x:v>
      </x:c>
      <x:c r="N24" s="24" t="n">
        <x:v>0.05</x:v>
      </x:c>
      <x:c r="O24" s="22" t="n">
        <x:v>2904.86</x:v>
      </x:c>
      <x:c r="P24" s="22" t="n">
        <x:f>L24*M24*(1-N24)</x:f>
        <x:v>9140.633999999998</x:v>
      </x:c>
      <x:c r="Q24" s="22" t="n">
        <x:f>L24*O24</x:f>
        <x:v>5809.72</x:v>
      </x:c>
      <x:c r="R24" s="22" t="n">
        <x:f>P24-Q24</x:f>
        <x:v>3330.913999999998</x:v>
      </x:c>
      <x:c r="S24" t="str">
        <x:v>Debit Card</x:v>
      </x:c>
      <x:c r="T24" t="str">
        <x:v>Home Office</x:v>
      </x:c>
      <x:c r="U24" t="str">
        <x:v>Online</x:v>
      </x:c>
    </x:row>
    <x:row r="25">
      <x:c r="A25" t="str">
        <x:v>ORD0024</x:v>
      </x:c>
      <x:c r="B25" s="20" t="n">
        <x:v>45833</x:v>
      </x:c>
      <x:c r="C25" t="str">
        <x:v>Sree Kumar</x:v>
      </x:c>
      <x:c r="D25" t="str">
        <x:v>Female</x:v>
      </x:c>
      <x:c r="E25" t="str">
        <x:v>18-25</x:v>
      </x:c>
      <x:c r="F25" t="str">
        <x:v>Lucknow</x:v>
      </x:c>
      <x:c r="G25" t="str">
        <x:v>Uttar Pradesh</x:v>
      </x:c>
      <x:c r="H25" t="str">
        <x:v>North</x:v>
      </x:c>
      <x:c r="I25" t="str">
        <x:v>Home &amp; Furniture</x:v>
      </x:c>
      <x:c r="J25" t="str">
        <x:v>Appliances</x:v>
      </x:c>
      <x:c r="K25" t="str">
        <x:v>Mixer Grinder</x:v>
      </x:c>
      <x:c r="L25" t="n">
        <x:v>1</x:v>
      </x:c>
      <x:c r="M25" s="22" t="n">
        <x:v>4203.63</x:v>
      </x:c>
      <x:c r="N25" s="24" t="n">
        <x:v>0</x:v>
      </x:c>
      <x:c r="O25" s="22" t="n">
        <x:v>2842.26</x:v>
      </x:c>
      <x:c r="P25" s="22" t="n">
        <x:f>L25*M25*(1-N25)</x:f>
        <x:v>4203.63</x:v>
      </x:c>
      <x:c r="Q25" s="22" t="n">
        <x:f>L25*O25</x:f>
        <x:v>2842.26</x:v>
      </x:c>
      <x:c r="R25" s="22" t="n">
        <x:f>P25-Q25</x:f>
        <x:v>1361.37</x:v>
      </x:c>
      <x:c r="S25" t="str">
        <x:v>Debit Card</x:v>
      </x:c>
      <x:c r="T25" t="str">
        <x:v>Consumer</x:v>
      </x:c>
      <x:c r="U25" t="str">
        <x:v>Retail Store</x:v>
      </x:c>
    </x:row>
    <x:row r="26">
      <x:c r="A26" t="str">
        <x:v>ORD0025</x:v>
      </x:c>
      <x:c r="B26" s="20" t="n">
        <x:v>45792</x:v>
      </x:c>
      <x:c r="C26" t="str">
        <x:v>Sai Gupta</x:v>
      </x:c>
      <x:c r="D26" t="str">
        <x:v>Female</x:v>
      </x:c>
      <x:c r="E26" t="str">
        <x:v>36-45</x:v>
      </x:c>
      <x:c r="F26" t="str">
        <x:v>Vijayawada</x:v>
      </x:c>
      <x:c r="G26" t="str">
        <x:v>Andhra Pradesh</x:v>
      </x:c>
      <x:c r="H26" t="str">
        <x:v>South</x:v>
      </x:c>
      <x:c r="I26" t="str">
        <x:v>Home &amp; Furniture</x:v>
      </x:c>
      <x:c r="J26" t="str">
        <x:v>Appliances</x:v>
      </x:c>
      <x:c r="K26" t="str">
        <x:v>Air Fryer</x:v>
      </x:c>
      <x:c r="L26" t="n">
        <x:v>1</x:v>
      </x:c>
      <x:c r="M26" s="22" t="n">
        <x:v>7562.02</x:v>
      </x:c>
      <x:c r="N26" s="24" t="n">
        <x:v>0</x:v>
      </x:c>
      <x:c r="O26" s="22" t="n">
        <x:v>5070.5</x:v>
      </x:c>
      <x:c r="P26" s="22" t="n">
        <x:f>L26*M26*(1-N26)</x:f>
        <x:v>7562.02</x:v>
      </x:c>
      <x:c r="Q26" s="22" t="n">
        <x:f>L26*O26</x:f>
        <x:v>5070.5</x:v>
      </x:c>
      <x:c r="R26" s="22" t="n">
        <x:f>P26-Q26</x:f>
        <x:v>2491.5200000000004</x:v>
      </x:c>
      <x:c r="S26" t="str">
        <x:v>Net Banking</x:v>
      </x:c>
      <x:c r="T26" t="str">
        <x:v>Home Office</x:v>
      </x:c>
      <x:c r="U26" t="str">
        <x:v>Online</x:v>
      </x:c>
    </x:row>
    <x:row r="27">
      <x:c r="A27" t="str">
        <x:v>ORD0026</x:v>
      </x:c>
      <x:c r="B27" s="20" t="n">
        <x:v>45878</x:v>
      </x:c>
      <x:c r="C27" t="str">
        <x:v>Rohit Reddy</x:v>
      </x:c>
      <x:c r="D27" t="str">
        <x:v>Male</x:v>
      </x:c>
      <x:c r="E27" t="str">
        <x:v>46-60</x:v>
      </x:c>
      <x:c r="F27" t="str">
        <x:v>Bengaluru</x:v>
      </x:c>
      <x:c r="G27" t="str">
        <x:v>Karnataka</x:v>
      </x:c>
      <x:c r="H27" t="str">
        <x:v>South</x:v>
      </x:c>
      <x:c r="I27" t="str">
        <x:v>Home &amp; Furniture</x:v>
      </x:c>
      <x:c r="J27" t="str">
        <x:v>Furniture</x:v>
      </x:c>
      <x:c r="K27" t="str">
        <x:v>Office Chair</x:v>
      </x:c>
      <x:c r="L27" t="n">
        <x:v>1</x:v>
      </x:c>
      <x:c r="M27" s="22" t="n">
        <x:v>8723.89</x:v>
      </x:c>
      <x:c r="N27" s="24" t="n">
        <x:v>0.05</x:v>
      </x:c>
      <x:c r="O27" s="22" t="n">
        <x:v>6397.89</x:v>
      </x:c>
      <x:c r="P27" s="22" t="n">
        <x:f>L27*M27*(1-N27)</x:f>
        <x:v>8287.6955</x:v>
      </x:c>
      <x:c r="Q27" s="22" t="n">
        <x:f>L27*O27</x:f>
        <x:v>6397.89</x:v>
      </x:c>
      <x:c r="R27" s="22" t="n">
        <x:f>P27-Q27</x:f>
        <x:v>1889.8054999999995</x:v>
      </x:c>
      <x:c r="S27" t="str">
        <x:v>Net Banking</x:v>
      </x:c>
      <x:c r="T27" t="str">
        <x:v>Home Office</x:v>
      </x:c>
      <x:c r="U27" t="str">
        <x:v>Online</x:v>
      </x:c>
    </x:row>
    <x:row r="28">
      <x:c r="A28" t="str">
        <x:v>ORD0027</x:v>
      </x:c>
      <x:c r="B28" s="20" t="n">
        <x:v>45779</x:v>
      </x:c>
      <x:c r="C28" t="str">
        <x:v>Rohit Kumar</x:v>
      </x:c>
      <x:c r="D28" t="str">
        <x:v>Female</x:v>
      </x:c>
      <x:c r="E28" t="str">
        <x:v>18-25</x:v>
      </x:c>
      <x:c r="F28" t="str">
        <x:v>Bhubaneswar</x:v>
      </x:c>
      <x:c r="G28" t="str">
        <x:v>Odisha</x:v>
      </x:c>
      <x:c r="H28" t="str">
        <x:v>East</x:v>
      </x:c>
      <x:c r="I28" t="str">
        <x:v>Home &amp; Furniture</x:v>
      </x:c>
      <x:c r="J28" t="str">
        <x:v>Furniture</x:v>
      </x:c>
      <x:c r="K28" t="str">
        <x:v>Study Table</x:v>
      </x:c>
      <x:c r="L28" t="n">
        <x:v>3</x:v>
      </x:c>
      <x:c r="M28" s="22" t="n">
        <x:v>13262.83</x:v>
      </x:c>
      <x:c r="N28" s="24" t="n">
        <x:v>0.1</x:v>
      </x:c>
      <x:c r="O28" s="22" t="n">
        <x:v>8465.45</x:v>
      </x:c>
      <x:c r="P28" s="22" t="n">
        <x:f>L28*M28*(1-N28)</x:f>
        <x:v>35809.640999999996</x:v>
      </x:c>
      <x:c r="Q28" s="22" t="n">
        <x:f>L28*O28</x:f>
        <x:v>25396.350000000002</x:v>
      </x:c>
      <x:c r="R28" s="22" t="n">
        <x:f>P28-Q28</x:f>
        <x:v>10413.290999999994</x:v>
      </x:c>
      <x:c r="S28" t="str">
        <x:v>Cash on Delivery</x:v>
      </x:c>
      <x:c r="T28" t="str">
        <x:v>Consumer</x:v>
      </x:c>
      <x:c r="U28" t="str">
        <x:v>Mobile App</x:v>
      </x:c>
    </x:row>
    <x:row r="29">
      <x:c r="A29" t="str">
        <x:v>ORD0028</x:v>
      </x:c>
      <x:c r="B29" s="20" t="n">
        <x:v>45771</x:v>
      </x:c>
      <x:c r="C29" t="str">
        <x:v>Kiran Naidu</x:v>
      </x:c>
      <x:c r="D29" t="str">
        <x:v>Male</x:v>
      </x:c>
      <x:c r="E29" t="str">
        <x:v>36-45</x:v>
      </x:c>
      <x:c r="F29" t="str">
        <x:v>Hyderabad</x:v>
      </x:c>
      <x:c r="G29" t="str">
        <x:v>Telangana</x:v>
      </x:c>
      <x:c r="H29" t="str">
        <x:v>South</x:v>
      </x:c>
      <x:c r="I29" t="str">
        <x:v>Home &amp; Furniture</x:v>
      </x:c>
      <x:c r="J29" t="str">
        <x:v>Appliances</x:v>
      </x:c>
      <x:c r="K29" t="str">
        <x:v>Air Fryer</x:v>
      </x:c>
      <x:c r="L29" t="n">
        <x:v>2</x:v>
      </x:c>
      <x:c r="M29" s="22" t="n">
        <x:v>7319.59</x:v>
      </x:c>
      <x:c r="N29" s="24" t="n">
        <x:v>0</x:v>
      </x:c>
      <x:c r="O29" s="22" t="n">
        <x:v>5230.78</x:v>
      </x:c>
      <x:c r="P29" s="22" t="n">
        <x:f>L29*M29*(1-N29)</x:f>
        <x:v>14639.18</x:v>
      </x:c>
      <x:c r="Q29" s="22" t="n">
        <x:f>L29*O29</x:f>
        <x:v>10461.56</x:v>
      </x:c>
      <x:c r="R29" s="22" t="n">
        <x:f>P29-Q29</x:f>
        <x:v>4177.620000000001</x:v>
      </x:c>
      <x:c r="S29" t="str">
        <x:v>UPI</x:v>
      </x:c>
      <x:c r="T29" t="str">
        <x:v>Corporate</x:v>
      </x:c>
      <x:c r="U29" t="str">
        <x:v>Mobile App</x:v>
      </x:c>
    </x:row>
    <x:row r="30">
      <x:c r="A30" t="str">
        <x:v>ORD0029</x:v>
      </x:c>
      <x:c r="B30" s="20" t="n">
        <x:v>45986</x:v>
      </x:c>
      <x:c r="C30" t="str">
        <x:v>Rahul Das</x:v>
      </x:c>
      <x:c r="D30" t="str">
        <x:v>Male</x:v>
      </x:c>
      <x:c r="E30" t="str">
        <x:v>18-25</x:v>
      </x:c>
      <x:c r="F30" t="str">
        <x:v>Chennai</x:v>
      </x:c>
      <x:c r="G30" t="str">
        <x:v>Tamil Nadu</x:v>
      </x:c>
      <x:c r="H30" t="str">
        <x:v>South</x:v>
      </x:c>
      <x:c r="I30" t="str">
        <x:v>Beauty</x:v>
      </x:c>
      <x:c r="J30" t="str">
        <x:v>Makeup</x:v>
      </x:c>
      <x:c r="K30" t="str">
        <x:v>Makeup Kit</x:v>
      </x:c>
      <x:c r="L30" t="n">
        <x:v>1</x:v>
      </x:c>
      <x:c r="M30" s="22" t="n">
        <x:v>3230.95</x:v>
      </x:c>
      <x:c r="N30" s="24" t="n">
        <x:v>0</x:v>
      </x:c>
      <x:c r="O30" s="22" t="n">
        <x:v>1755.07</x:v>
      </x:c>
      <x:c r="P30" s="22" t="n">
        <x:f>L30*M30*(1-N30)</x:f>
        <x:v>3230.95</x:v>
      </x:c>
      <x:c r="Q30" s="22" t="n">
        <x:f>L30*O30</x:f>
        <x:v>1755.07</x:v>
      </x:c>
      <x:c r="R30" s="22" t="n">
        <x:f>P30-Q30</x:f>
        <x:v>1475.8799999999999</x:v>
      </x:c>
      <x:c r="S30" t="str">
        <x:v>UPI</x:v>
      </x:c>
      <x:c r="T30" t="str">
        <x:v>Home Office</x:v>
      </x:c>
      <x:c r="U30" t="str">
        <x:v>Mobile App</x:v>
      </x:c>
    </x:row>
    <x:row r="31">
      <x:c r="A31" t="str">
        <x:v>ORD0030</x:v>
      </x:c>
      <x:c r="B31" s="20" t="n">
        <x:v>45834</x:v>
      </x:c>
      <x:c r="C31" t="str">
        <x:v>Neha Sharma</x:v>
      </x:c>
      <x:c r="D31" t="str">
        <x:v>Male</x:v>
      </x:c>
      <x:c r="E31" t="str">
        <x:v>18-25</x:v>
      </x:c>
      <x:c r="F31" t="str">
        <x:v>Bengaluru</x:v>
      </x:c>
      <x:c r="G31" t="str">
        <x:v>Karnataka</x:v>
      </x:c>
      <x:c r="H31" t="str">
        <x:v>South</x:v>
      </x:c>
      <x:c r="I31" t="str">
        <x:v>Fashion</x:v>
      </x:c>
      <x:c r="J31" t="str">
        <x:v>Accessories</x:v>
      </x:c>
      <x:c r="K31" t="str">
        <x:v>Backpack</x:v>
      </x:c>
      <x:c r="L31" t="n">
        <x:v>4</x:v>
      </x:c>
      <x:c r="M31" s="22" t="n">
        <x:v>2237.39</x:v>
      </x:c>
      <x:c r="N31" s="24" t="n">
        <x:v>0.15</x:v>
      </x:c>
      <x:c r="O31" s="22" t="n">
        <x:v>1301.19</x:v>
      </x:c>
      <x:c r="P31" s="22" t="n">
        <x:f>L31*M31*(1-N31)</x:f>
        <x:v>7607.125999999999</x:v>
      </x:c>
      <x:c r="Q31" s="22" t="n">
        <x:f>L31*O31</x:f>
        <x:v>5204.76</x:v>
      </x:c>
      <x:c r="R31" s="22" t="n">
        <x:f>P31-Q31</x:f>
        <x:v>2402.365999999999</x:v>
      </x:c>
      <x:c r="S31" t="str">
        <x:v>Net Banking</x:v>
      </x:c>
      <x:c r="T31" t="str">
        <x:v>Home Office</x:v>
      </x:c>
      <x:c r="U31" t="str">
        <x:v>Retail Store</x:v>
      </x:c>
    </x:row>
    <x:row r="32">
      <x:c r="A32" t="str">
        <x:v>ORD0031</x:v>
      </x:c>
      <x:c r="B32" s="20" t="n">
        <x:v>46001</x:v>
      </x:c>
      <x:c r="C32" t="str">
        <x:v>Arjun Kumar</x:v>
      </x:c>
      <x:c r="D32" t="str">
        <x:v>Male</x:v>
      </x:c>
      <x:c r="E32" t="str">
        <x:v>46-60</x:v>
      </x:c>
      <x:c r="F32" t="str">
        <x:v>Mumbai</x:v>
      </x:c>
      <x:c r="G32" t="str">
        <x:v>Maharashtra</x:v>
      </x:c>
      <x:c r="H32" t="str">
        <x:v>West</x:v>
      </x:c>
      <x:c r="I32" t="str">
        <x:v>Home &amp; Furniture</x:v>
      </x:c>
      <x:c r="J32" t="str">
        <x:v>Appliances</x:v>
      </x:c>
      <x:c r="K32" t="str">
        <x:v>Mixer Grinder</x:v>
      </x:c>
      <x:c r="L32" t="n">
        <x:v>3</x:v>
      </x:c>
      <x:c r="M32" s="22" t="n">
        <x:v>4153.83</x:v>
      </x:c>
      <x:c r="N32" s="24" t="n">
        <x:v>0.15</x:v>
      </x:c>
      <x:c r="O32" s="22" t="n">
        <x:v>3004.14</x:v>
      </x:c>
      <x:c r="P32" s="22" t="n">
        <x:f>L32*M32*(1-N32)</x:f>
        <x:v>10592.2665</x:v>
      </x:c>
      <x:c r="Q32" s="22" t="n">
        <x:f>L32*O32</x:f>
        <x:v>9012.42</x:v>
      </x:c>
      <x:c r="R32" s="22" t="n">
        <x:f>P32-Q32</x:f>
        <x:v>1579.8464999999997</x:v>
      </x:c>
      <x:c r="S32" t="str">
        <x:v>Debit Card</x:v>
      </x:c>
      <x:c r="T32" t="str">
        <x:v>Corporate</x:v>
      </x:c>
      <x:c r="U32" t="str">
        <x:v>Retail Store</x:v>
      </x:c>
    </x:row>
    <x:row r="33">
      <x:c r="A33" t="str">
        <x:v>ORD0032</x:v>
      </x:c>
      <x:c r="B33" s="20" t="n">
        <x:v>45809</x:v>
      </x:c>
      <x:c r="C33" t="str">
        <x:v>Ananya Naidu</x:v>
      </x:c>
      <x:c r="D33" t="str">
        <x:v>Female</x:v>
      </x:c>
      <x:c r="E33" t="str">
        <x:v>36-45</x:v>
      </x:c>
      <x:c r="F33" t="str">
        <x:v>Jaipur</x:v>
      </x:c>
      <x:c r="G33" t="str">
        <x:v>Rajasthan</x:v>
      </x:c>
      <x:c r="H33" t="str">
        <x:v>North</x:v>
      </x:c>
      <x:c r="I33" t="str">
        <x:v>Home &amp; Furniture</x:v>
      </x:c>
      <x:c r="J33" t="str">
        <x:v>Furniture</x:v>
      </x:c>
      <x:c r="K33" t="str">
        <x:v>Study Table</x:v>
      </x:c>
      <x:c r="L33" t="n">
        <x:v>2</x:v>
      </x:c>
      <x:c r="M33" s="22" t="n">
        <x:v>12340.89</x:v>
      </x:c>
      <x:c r="N33" s="24" t="n">
        <x:v>0.15</x:v>
      </x:c>
      <x:c r="O33" s="22" t="n">
        <x:v>9110.02</x:v>
      </x:c>
      <x:c r="P33" s="22" t="n">
        <x:f>L33*M33*(1-N33)</x:f>
        <x:v>20979.513</x:v>
      </x:c>
      <x:c r="Q33" s="22" t="n">
        <x:f>L33*O33</x:f>
        <x:v>18220.04</x:v>
      </x:c>
      <x:c r="R33" s="22" t="n">
        <x:f>P33-Q33</x:f>
        <x:v>2759.472999999998</x:v>
      </x:c>
      <x:c r="S33" t="str">
        <x:v>Debit Card</x:v>
      </x:c>
      <x:c r="T33" t="str">
        <x:v>Consumer</x:v>
      </x:c>
      <x:c r="U33" t="str">
        <x:v>Mobile App</x:v>
      </x:c>
    </x:row>
    <x:row r="34">
      <x:c r="A34" t="str">
        <x:v>ORD0033</x:v>
      </x:c>
      <x:c r="B34" s="20" t="n">
        <x:v>45954</x:v>
      </x:c>
      <x:c r="C34" t="str">
        <x:v>Rahul Reddy</x:v>
      </x:c>
      <x:c r="D34" t="str">
        <x:v>Male</x:v>
      </x:c>
      <x:c r="E34" t="str">
        <x:v>36-45</x:v>
      </x:c>
      <x:c r="F34" t="str">
        <x:v>Bhubaneswar</x:v>
      </x:c>
      <x:c r="G34" t="str">
        <x:v>Odisha</x:v>
      </x:c>
      <x:c r="H34" t="str">
        <x:v>East</x:v>
      </x:c>
      <x:c r="I34" t="str">
        <x:v>Fashion</x:v>
      </x:c>
      <x:c r="J34" t="str">
        <x:v>Accessories</x:v>
      </x:c>
      <x:c r="K34" t="str">
        <x:v>Backpack</x:v>
      </x:c>
      <x:c r="L34" t="n">
        <x:v>5</x:v>
      </x:c>
      <x:c r="M34" s="22" t="n">
        <x:v>2179.51</x:v>
      </x:c>
      <x:c r="N34" s="24" t="n">
        <x:v>0.1</x:v>
      </x:c>
      <x:c r="O34" s="22" t="n">
        <x:v>1318.27</x:v>
      </x:c>
      <x:c r="P34" s="22" t="n">
        <x:f>L34*M34*(1-N34)</x:f>
        <x:v>9807.795000000002</x:v>
      </x:c>
      <x:c r="Q34" s="22" t="n">
        <x:f>L34*O34</x:f>
        <x:v>6591.35</x:v>
      </x:c>
      <x:c r="R34" s="22" t="n">
        <x:f>P34-Q34</x:f>
        <x:v>3216.4450000000015</x:v>
      </x:c>
      <x:c r="S34" t="str">
        <x:v>UPI</x:v>
      </x:c>
      <x:c r="T34" t="str">
        <x:v>Consumer</x:v>
      </x:c>
      <x:c r="U34" t="str">
        <x:v>Retail Store</x:v>
      </x:c>
    </x:row>
    <x:row r="35">
      <x:c r="A35" t="str">
        <x:v>ORD0034</x:v>
      </x:c>
      <x:c r="B35" s="20" t="n">
        <x:v>45816</x:v>
      </x:c>
      <x:c r="C35" t="str">
        <x:v>Aditya Verma</x:v>
      </x:c>
      <x:c r="D35" t="str">
        <x:v>Male</x:v>
      </x:c>
      <x:c r="E35" t="str">
        <x:v>26-35</x:v>
      </x:c>
      <x:c r="F35" t="str">
        <x:v>Bhubaneswar</x:v>
      </x:c>
      <x:c r="G35" t="str">
        <x:v>Odisha</x:v>
      </x:c>
      <x:c r="H35" t="str">
        <x:v>East</x:v>
      </x:c>
      <x:c r="I35" t="str">
        <x:v>Home &amp; Furniture</x:v>
      </x:c>
      <x:c r="J35" t="str">
        <x:v>Furniture</x:v>
      </x:c>
      <x:c r="K35" t="str">
        <x:v>Study Table</x:v>
      </x:c>
      <x:c r="L35" t="n">
        <x:v>4</x:v>
      </x:c>
      <x:c r="M35" s="22" t="n">
        <x:v>11794.71</x:v>
      </x:c>
      <x:c r="N35" s="24" t="n">
        <x:v>0.15</x:v>
      </x:c>
      <x:c r="O35" s="22" t="n">
        <x:v>8480.53</x:v>
      </x:c>
      <x:c r="P35" s="22" t="n">
        <x:f>L35*M35*(1-N35)</x:f>
        <x:v>40102.013999999996</x:v>
      </x:c>
      <x:c r="Q35" s="22" t="n">
        <x:f>L35*O35</x:f>
        <x:v>33922.12</x:v>
      </x:c>
      <x:c r="R35" s="22" t="n">
        <x:f>P35-Q35</x:f>
        <x:v>6179.893999999993</x:v>
      </x:c>
      <x:c r="S35" t="str">
        <x:v>Cash on Delivery</x:v>
      </x:c>
      <x:c r="T35" t="str">
        <x:v>Corporate</x:v>
      </x:c>
      <x:c r="U35" t="str">
        <x:v>Mobile App</x:v>
      </x:c>
    </x:row>
    <x:row r="36">
      <x:c r="A36" t="str">
        <x:v>ORD0035</x:v>
      </x:c>
      <x:c r="B36" s="20" t="n">
        <x:v>45782</x:v>
      </x:c>
      <x:c r="C36" t="str">
        <x:v>Rahul Gupta</x:v>
      </x:c>
      <x:c r="D36" t="str">
        <x:v>Male</x:v>
      </x:c>
      <x:c r="E36" t="str">
        <x:v>18-25</x:v>
      </x:c>
      <x:c r="F36" t="str">
        <x:v>Bengaluru</x:v>
      </x:c>
      <x:c r="G36" t="str">
        <x:v>Karnataka</x:v>
      </x:c>
      <x:c r="H36" t="str">
        <x:v>South</x:v>
      </x:c>
      <x:c r="I36" t="str">
        <x:v>Home &amp; Furniture</x:v>
      </x:c>
      <x:c r="J36" t="str">
        <x:v>Furniture</x:v>
      </x:c>
      <x:c r="K36" t="str">
        <x:v>Office Chair</x:v>
      </x:c>
      <x:c r="L36" t="n">
        <x:v>1</x:v>
      </x:c>
      <x:c r="M36" s="22" t="n">
        <x:v>9565.43</x:v>
      </x:c>
      <x:c r="N36" s="24" t="n">
        <x:v>0.1</x:v>
      </x:c>
      <x:c r="O36" s="22" t="n">
        <x:v>6378.78</x:v>
      </x:c>
      <x:c r="P36" s="22" t="n">
        <x:f>L36*M36*(1-N36)</x:f>
        <x:v>8608.887</x:v>
      </x:c>
      <x:c r="Q36" s="22" t="n">
        <x:f>L36*O36</x:f>
        <x:v>6378.78</x:v>
      </x:c>
      <x:c r="R36" s="22" t="n">
        <x:f>P36-Q36</x:f>
        <x:v>2230.107000000001</x:v>
      </x:c>
      <x:c r="S36" t="str">
        <x:v>Net Banking</x:v>
      </x:c>
      <x:c r="T36" t="str">
        <x:v>Consumer</x:v>
      </x:c>
      <x:c r="U36" t="str">
        <x:v>Online</x:v>
      </x:c>
    </x:row>
    <x:row r="37">
      <x:c r="A37" t="str">
        <x:v>ORD0036</x:v>
      </x:c>
      <x:c r="B37" s="20" t="n">
        <x:v>45891</x:v>
      </x:c>
      <x:c r="C37" t="str">
        <x:v>Pooja Das</x:v>
      </x:c>
      <x:c r="D37" t="str">
        <x:v>Male</x:v>
      </x:c>
      <x:c r="E37" t="str">
        <x:v>46-60</x:v>
      </x:c>
      <x:c r="F37" t="str">
        <x:v>Bhubaneswar</x:v>
      </x:c>
      <x:c r="G37" t="str">
        <x:v>Odisha</x:v>
      </x:c>
      <x:c r="H37" t="str">
        <x:v>East</x:v>
      </x:c>
      <x:c r="I37" t="str">
        <x:v>Home &amp; Furniture</x:v>
      </x:c>
      <x:c r="J37" t="str">
        <x:v>Appliances</x:v>
      </x:c>
      <x:c r="K37" t="str">
        <x:v>Air Fryer</x:v>
      </x:c>
      <x:c r="L37" t="n">
        <x:v>5</x:v>
      </x:c>
      <x:c r="M37" s="22" t="n">
        <x:v>7701.09</x:v>
      </x:c>
      <x:c r="N37" s="24" t="n">
        <x:v>0.05</x:v>
      </x:c>
      <x:c r="O37" s="22" t="n">
        <x:v>5299.06</x:v>
      </x:c>
      <x:c r="P37" s="22" t="n">
        <x:f>L37*M37*(1-N37)</x:f>
        <x:v>36580.1775</x:v>
      </x:c>
      <x:c r="Q37" s="22" t="n">
        <x:f>L37*O37</x:f>
        <x:v>26495.300000000003</x:v>
      </x:c>
      <x:c r="R37" s="22" t="n">
        <x:f>P37-Q37</x:f>
        <x:v>10084.877499999995</x:v>
      </x:c>
      <x:c r="S37" t="str">
        <x:v>Credit Card</x:v>
      </x:c>
      <x:c r="T37" t="str">
        <x:v>Home Office</x:v>
      </x:c>
      <x:c r="U37" t="str">
        <x:v>Mobile App</x:v>
      </x:c>
    </x:row>
    <x:row r="38">
      <x:c r="A38" t="str">
        <x:v>ORD0037</x:v>
      </x:c>
      <x:c r="B38" s="20" t="n">
        <x:v>45888</x:v>
      </x:c>
      <x:c r="C38" t="str">
        <x:v>Rohit Kumar</x:v>
      </x:c>
      <x:c r="D38" t="str">
        <x:v>Male</x:v>
      </x:c>
      <x:c r="E38" t="str">
        <x:v>18-25</x:v>
      </x:c>
      <x:c r="F38" t="str">
        <x:v>Lucknow</x:v>
      </x:c>
      <x:c r="G38" t="str">
        <x:v>Uttar Pradesh</x:v>
      </x:c>
      <x:c r="H38" t="str">
        <x:v>North</x:v>
      </x:c>
      <x:c r="I38" t="str">
        <x:v>Fashion</x:v>
      </x:c>
      <x:c r="J38" t="str">
        <x:v>Women</x:v>
      </x:c>
      <x:c r="K38" t="str">
        <x:v>Kurti</x:v>
      </x:c>
      <x:c r="L38" t="n">
        <x:v>5</x:v>
      </x:c>
      <x:c r="M38" s="22" t="n">
        <x:v>1897.88</x:v>
      </x:c>
      <x:c r="N38" s="24" t="n">
        <x:v>0.1</x:v>
      </x:c>
      <x:c r="O38" s="22" t="n">
        <x:v>982.18</x:v>
      </x:c>
      <x:c r="P38" s="22" t="n">
        <x:f>L38*M38*(1-N38)</x:f>
        <x:v>8540.460000000001</x:v>
      </x:c>
      <x:c r="Q38" s="22" t="n">
        <x:f>L38*O38</x:f>
        <x:v>4910.9</x:v>
      </x:c>
      <x:c r="R38" s="22" t="n">
        <x:f>P38-Q38</x:f>
        <x:v>3629.5600000000013</x:v>
      </x:c>
      <x:c r="S38" t="str">
        <x:v>Debit Card</x:v>
      </x:c>
      <x:c r="T38" t="str">
        <x:v>Consumer</x:v>
      </x:c>
      <x:c r="U38" t="str">
        <x:v>Mobile App</x:v>
      </x:c>
    </x:row>
    <x:row r="39">
      <x:c r="A39" t="str">
        <x:v>ORD0038</x:v>
      </x:c>
      <x:c r="B39" s="20" t="n">
        <x:v>45829</x:v>
      </x:c>
      <x:c r="C39" t="str">
        <x:v>Aditya Naidu</x:v>
      </x:c>
      <x:c r="D39" t="str">
        <x:v>Male</x:v>
      </x:c>
      <x:c r="E39" t="str">
        <x:v>36-45</x:v>
      </x:c>
      <x:c r="F39" t="str">
        <x:v>Bengaluru</x:v>
      </x:c>
      <x:c r="G39" t="str">
        <x:v>Karnataka</x:v>
      </x:c>
      <x:c r="H39" t="str">
        <x:v>South</x:v>
      </x:c>
      <x:c r="I39" t="str">
        <x:v>Fashion</x:v>
      </x:c>
      <x:c r="J39" t="str">
        <x:v>Men</x:v>
      </x:c>
      <x:c r="K39" t="str">
        <x:v>Casual Shirt</x:v>
      </x:c>
      <x:c r="L39" t="n">
        <x:v>2</x:v>
      </x:c>
      <x:c r="M39" s="22" t="n">
        <x:v>1507.42</x:v>
      </x:c>
      <x:c r="N39" s="24" t="n">
        <x:v>0.2</x:v>
      </x:c>
      <x:c r="O39" s="22" t="n">
        <x:v>880.65</x:v>
      </x:c>
      <x:c r="P39" s="22" t="n">
        <x:f>L39*M39*(1-N39)</x:f>
        <x:v>2411.8720000000003</x:v>
      </x:c>
      <x:c r="Q39" s="22" t="n">
        <x:f>L39*O39</x:f>
        <x:v>1761.3</x:v>
      </x:c>
      <x:c r="R39" s="22" t="n">
        <x:f>P39-Q39</x:f>
        <x:v>650.5720000000003</x:v>
      </x:c>
      <x:c r="S39" t="str">
        <x:v>Net Banking</x:v>
      </x:c>
      <x:c r="T39" t="str">
        <x:v>Corporate</x:v>
      </x:c>
      <x:c r="U39" t="str">
        <x:v>Mobile App</x:v>
      </x:c>
    </x:row>
    <x:row r="40">
      <x:c r="A40" t="str">
        <x:v>ORD0039</x:v>
      </x:c>
      <x:c r="B40" s="20" t="n">
        <x:v>45689</x:v>
      </x:c>
      <x:c r="C40" t="str">
        <x:v>Sneha Sharma</x:v>
      </x:c>
      <x:c r="D40" t="str">
        <x:v>Male</x:v>
      </x:c>
      <x:c r="E40" t="str">
        <x:v>36-45</x:v>
      </x:c>
      <x:c r="F40" t="str">
        <x:v>Pune</x:v>
      </x:c>
      <x:c r="G40" t="str">
        <x:v>Maharashtra</x:v>
      </x:c>
      <x:c r="H40" t="str">
        <x:v>West</x:v>
      </x:c>
      <x:c r="I40" t="str">
        <x:v>Home &amp; Furniture</x:v>
      </x:c>
      <x:c r="J40" t="str">
        <x:v>Appliances</x:v>
      </x:c>
      <x:c r="K40" t="str">
        <x:v>Air Fryer</x:v>
      </x:c>
      <x:c r="L40" t="n">
        <x:v>1</x:v>
      </x:c>
      <x:c r="M40" s="22" t="n">
        <x:v>7367.37</x:v>
      </x:c>
      <x:c r="N40" s="24" t="n">
        <x:v>0.15</x:v>
      </x:c>
      <x:c r="O40" s="22" t="n">
        <x:v>5210.08</x:v>
      </x:c>
      <x:c r="P40" s="22" t="n">
        <x:f>L40*M40*(1-N40)</x:f>
        <x:v>6262.264499999999</x:v>
      </x:c>
      <x:c r="Q40" s="22" t="n">
        <x:f>L40*O40</x:f>
        <x:v>5210.08</x:v>
      </x:c>
      <x:c r="R40" s="22" t="n">
        <x:f>P40-Q40</x:f>
        <x:v>1052.1844999999994</x:v>
      </x:c>
      <x:c r="S40" t="str">
        <x:v>Cash on Delivery</x:v>
      </x:c>
      <x:c r="T40" t="str">
        <x:v>Corporate</x:v>
      </x:c>
      <x:c r="U40" t="str">
        <x:v>Retail Store</x:v>
      </x:c>
    </x:row>
    <x:row r="41">
      <x:c r="A41" t="str">
        <x:v>ORD0040</x:v>
      </x:c>
      <x:c r="B41" s="20" t="n">
        <x:v>45937</x:v>
      </x:c>
      <x:c r="C41" t="str">
        <x:v>Divya Rao</x:v>
      </x:c>
      <x:c r="D41" t="str">
        <x:v>Male</x:v>
      </x:c>
      <x:c r="E41" t="str">
        <x:v>26-35</x:v>
      </x:c>
      <x:c r="F41" t="str">
        <x:v>Mumbai</x:v>
      </x:c>
      <x:c r="G41" t="str">
        <x:v>Maharashtra</x:v>
      </x:c>
      <x:c r="H41" t="str">
        <x:v>West</x:v>
      </x:c>
      <x:c r="I41" t="str">
        <x:v>Home &amp; Furniture</x:v>
      </x:c>
      <x:c r="J41" t="str">
        <x:v>Appliances</x:v>
      </x:c>
      <x:c r="K41" t="str">
        <x:v>Air Fryer</x:v>
      </x:c>
      <x:c r="L41" t="n">
        <x:v>1</x:v>
      </x:c>
      <x:c r="M41" s="22" t="n">
        <x:v>7163.31</x:v>
      </x:c>
      <x:c r="N41" s="24" t="n">
        <x:v>0.1</x:v>
      </x:c>
      <x:c r="O41" s="22" t="n">
        <x:v>5073.82</x:v>
      </x:c>
      <x:c r="P41" s="22" t="n">
        <x:f>L41*M41*(1-N41)</x:f>
        <x:v>6446.979</x:v>
      </x:c>
      <x:c r="Q41" s="22" t="n">
        <x:f>L41*O41</x:f>
        <x:v>5073.82</x:v>
      </x:c>
      <x:c r="R41" s="22" t="n">
        <x:f>P41-Q41</x:f>
        <x:v>1373.1590000000006</x:v>
      </x:c>
      <x:c r="S41" t="str">
        <x:v>Net Banking</x:v>
      </x:c>
      <x:c r="T41" t="str">
        <x:v>Home Office</x:v>
      </x:c>
      <x:c r="U41" t="str">
        <x:v>Online</x:v>
      </x:c>
    </x:row>
    <x:row r="42">
      <x:c r="A42" t="str">
        <x:v>ORD0041</x:v>
      </x:c>
      <x:c r="B42" s="20" t="n">
        <x:v>45859</x:v>
      </x:c>
      <x:c r="C42" t="str">
        <x:v>Neha Naidu</x:v>
      </x:c>
      <x:c r="D42" t="str">
        <x:v>Male</x:v>
      </x:c>
      <x:c r="E42" t="str">
        <x:v>26-35</x:v>
      </x:c>
      <x:c r="F42" t="str">
        <x:v>Hyderabad</x:v>
      </x:c>
      <x:c r="G42" t="str">
        <x:v>Telangana</x:v>
      </x:c>
      <x:c r="H42" t="str">
        <x:v>South</x:v>
      </x:c>
      <x:c r="I42" t="str">
        <x:v>Electronics</x:v>
      </x:c>
      <x:c r="J42" t="str">
        <x:v>Laptop</x:v>
      </x:c>
      <x:c r="K42" t="str">
        <x:v>AeroBook 14</x:v>
      </x:c>
      <x:c r="L42" t="n">
        <x:v>4</x:v>
      </x:c>
      <x:c r="M42" s="22" t="n">
        <x:v>63416.08</x:v>
      </x:c>
      <x:c r="N42" s="24" t="n">
        <x:v>0</x:v>
      </x:c>
      <x:c r="O42" s="22" t="n">
        <x:v>48542.8</x:v>
      </x:c>
      <x:c r="P42" s="22" t="n">
        <x:f>L42*M42*(1-N42)</x:f>
        <x:v>253664.32</x:v>
      </x:c>
      <x:c r="Q42" s="22" t="n">
        <x:f>L42*O42</x:f>
        <x:v>194171.2</x:v>
      </x:c>
      <x:c r="R42" s="22" t="n">
        <x:f>P42-Q42</x:f>
        <x:v>59493.119999999995</x:v>
      </x:c>
      <x:c r="S42" t="str">
        <x:v>Cash on Delivery</x:v>
      </x:c>
      <x:c r="T42" t="str">
        <x:v>Corporate</x:v>
      </x:c>
      <x:c r="U42" t="str">
        <x:v>Mobile App</x:v>
      </x:c>
    </x:row>
    <x:row r="43">
      <x:c r="A43" t="str">
        <x:v>ORD0042</x:v>
      </x:c>
      <x:c r="B43" s="20" t="n">
        <x:v>45852</x:v>
      </x:c>
      <x:c r="C43" t="str">
        <x:v>Vivaan Singh</x:v>
      </x:c>
      <x:c r="D43" t="str">
        <x:v>Female</x:v>
      </x:c>
      <x:c r="E43" t="str">
        <x:v>18-25</x:v>
      </x:c>
      <x:c r="F43" t="str">
        <x:v>Delhi</x:v>
      </x:c>
      <x:c r="G43" t="str">
        <x:v>Delhi</x:v>
      </x:c>
      <x:c r="H43" t="str">
        <x:v>North</x:v>
      </x:c>
      <x:c r="I43" t="str">
        <x:v>Fashion</x:v>
      </x:c>
      <x:c r="J43" t="str">
        <x:v>Accessories</x:v>
      </x:c>
      <x:c r="K43" t="str">
        <x:v>Backpack</x:v>
      </x:c>
      <x:c r="L43" t="n">
        <x:v>1</x:v>
      </x:c>
      <x:c r="M43" s="22" t="n">
        <x:v>2112.8</x:v>
      </x:c>
      <x:c r="N43" s="24" t="n">
        <x:v>0.2</x:v>
      </x:c>
      <x:c r="O43" s="22" t="n">
        <x:v>1256.52</x:v>
      </x:c>
      <x:c r="P43" s="22" t="n">
        <x:f>L43*M43*(1-N43)</x:f>
        <x:v>1690.2400000000002</x:v>
      </x:c>
      <x:c r="Q43" s="22" t="n">
        <x:f>L43*O43</x:f>
        <x:v>1256.52</x:v>
      </x:c>
      <x:c r="R43" s="22" t="n">
        <x:f>P43-Q43</x:f>
        <x:v>433.72000000000025</x:v>
      </x:c>
      <x:c r="S43" t="str">
        <x:v>UPI</x:v>
      </x:c>
      <x:c r="T43" t="str">
        <x:v>Consumer</x:v>
      </x:c>
      <x:c r="U43" t="str">
        <x:v>Online</x:v>
      </x:c>
    </x:row>
    <x:row r="44">
      <x:c r="A44" t="str">
        <x:v>ORD0043</x:v>
      </x:c>
      <x:c r="B44" s="20" t="n">
        <x:v>45760</x:v>
      </x:c>
      <x:c r="C44" t="str">
        <x:v>Pooja Kumar</x:v>
      </x:c>
      <x:c r="D44" t="str">
        <x:v>Male</x:v>
      </x:c>
      <x:c r="E44" t="str">
        <x:v>26-35</x:v>
      </x:c>
      <x:c r="F44" t="str">
        <x:v>Bengaluru</x:v>
      </x:c>
      <x:c r="G44" t="str">
        <x:v>Karnataka</x:v>
      </x:c>
      <x:c r="H44" t="str">
        <x:v>South</x:v>
      </x:c>
      <x:c r="I44" t="str">
        <x:v>Electronics</x:v>
      </x:c>
      <x:c r="J44" t="str">
        <x:v>Smartphone</x:v>
      </x:c>
      <x:c r="K44" t="str">
        <x:v>Nova X</x:v>
      </x:c>
      <x:c r="L44" t="n">
        <x:v>1</x:v>
      </x:c>
      <x:c r="M44" s="22" t="n">
        <x:v>30661.35</x:v>
      </x:c>
      <x:c r="N44" s="24" t="n">
        <x:v>0.15</x:v>
      </x:c>
      <x:c r="O44" s="22" t="n">
        <x:v>24448.18</x:v>
      </x:c>
      <x:c r="P44" s="22" t="n">
        <x:f>L44*M44*(1-N44)</x:f>
        <x:v>26062.1475</x:v>
      </x:c>
      <x:c r="Q44" s="22" t="n">
        <x:f>L44*O44</x:f>
        <x:v>24448.18</x:v>
      </x:c>
      <x:c r="R44" s="22" t="n">
        <x:f>P44-Q44</x:f>
        <x:v>1613.9674999999988</x:v>
      </x:c>
      <x:c r="S44" t="str">
        <x:v>Net Banking</x:v>
      </x:c>
      <x:c r="T44" t="str">
        <x:v>Home Office</x:v>
      </x:c>
      <x:c r="U44" t="str">
        <x:v>Retail Store</x:v>
      </x:c>
    </x:row>
    <x:row r="45">
      <x:c r="A45" t="str">
        <x:v>ORD0044</x:v>
      </x:c>
      <x:c r="B45" s="20" t="n">
        <x:v>45716</x:v>
      </x:c>
      <x:c r="C45" t="str">
        <x:v>Divya Naidu</x:v>
      </x:c>
      <x:c r="D45" t="str">
        <x:v>Female</x:v>
      </x:c>
      <x:c r="E45" t="str">
        <x:v>18-25</x:v>
      </x:c>
      <x:c r="F45" t="str">
        <x:v>Lucknow</x:v>
      </x:c>
      <x:c r="G45" t="str">
        <x:v>Uttar Pradesh</x:v>
      </x:c>
      <x:c r="H45" t="str">
        <x:v>North</x:v>
      </x:c>
      <x:c r="I45" t="str">
        <x:v>Home &amp; Furniture</x:v>
      </x:c>
      <x:c r="J45" t="str">
        <x:v>Appliances</x:v>
      </x:c>
      <x:c r="K45" t="str">
        <x:v>Mixer Grinder</x:v>
      </x:c>
      <x:c r="L45" t="n">
        <x:v>3</x:v>
      </x:c>
      <x:c r="M45" s="22" t="n">
        <x:v>3936.64</x:v>
      </x:c>
      <x:c r="N45" s="24" t="n">
        <x:v>0.15</x:v>
      </x:c>
      <x:c r="O45" s="22" t="n">
        <x:v>2789.96</x:v>
      </x:c>
      <x:c r="P45" s="22" t="n">
        <x:f>L45*M45*(1-N45)</x:f>
        <x:v>10038.432</x:v>
      </x:c>
      <x:c r="Q45" s="22" t="n">
        <x:f>L45*O45</x:f>
        <x:v>8369.880000000001</x:v>
      </x:c>
      <x:c r="R45" s="22" t="n">
        <x:f>P45-Q45</x:f>
        <x:v>1668.5519999999997</x:v>
      </x:c>
      <x:c r="S45" t="str">
        <x:v>Net Banking</x:v>
      </x:c>
      <x:c r="T45" t="str">
        <x:v>Home Office</x:v>
      </x:c>
      <x:c r="U45" t="str">
        <x:v>Retail Store</x:v>
      </x:c>
    </x:row>
    <x:row r="46">
      <x:c r="A46" t="str">
        <x:v>ORD0045</x:v>
      </x:c>
      <x:c r="B46" s="20" t="n">
        <x:v>45782</x:v>
      </x:c>
      <x:c r="C46" t="str">
        <x:v>Vivaan Singh</x:v>
      </x:c>
      <x:c r="D46" t="str">
        <x:v>Male</x:v>
      </x:c>
      <x:c r="E46" t="str">
        <x:v>36-45</x:v>
      </x:c>
      <x:c r="F46" t="str">
        <x:v>Bhubaneswar</x:v>
      </x:c>
      <x:c r="G46" t="str">
        <x:v>Odisha</x:v>
      </x:c>
      <x:c r="H46" t="str">
        <x:v>East</x:v>
      </x:c>
      <x:c r="I46" t="str">
        <x:v>Electronics</x:v>
      </x:c>
      <x:c r="J46" t="str">
        <x:v>Headphones</x:v>
      </x:c>
      <x:c r="K46" t="str">
        <x:v>SoundMax Pro</x:v>
      </x:c>
      <x:c r="L46" t="n">
        <x:v>1</x:v>
      </x:c>
      <x:c r="M46" s="22" t="n">
        <x:v>4752.21</x:v>
      </x:c>
      <x:c r="N46" s="24" t="n">
        <x:v>0.15</x:v>
      </x:c>
      <x:c r="O46" s="22" t="n">
        <x:v>3024.1</x:v>
      </x:c>
      <x:c r="P46" s="22" t="n">
        <x:f>L46*M46*(1-N46)</x:f>
        <x:v>4039.3785</x:v>
      </x:c>
      <x:c r="Q46" s="22" t="n">
        <x:f>L46*O46</x:f>
        <x:v>3024.1</x:v>
      </x:c>
      <x:c r="R46" s="22" t="n">
        <x:f>P46-Q46</x:f>
        <x:v>1015.2784999999999</x:v>
      </x:c>
      <x:c r="S46" t="str">
        <x:v>UPI</x:v>
      </x:c>
      <x:c r="T46" t="str">
        <x:v>Home Office</x:v>
      </x:c>
      <x:c r="U46" t="str">
        <x:v>Retail Store</x:v>
      </x:c>
    </x:row>
    <x:row r="47">
      <x:c r="A47" t="str">
        <x:v>ORD0046</x:v>
      </x:c>
      <x:c r="B47" s="20" t="n">
        <x:v>45832</x:v>
      </x:c>
      <x:c r="C47" t="str">
        <x:v>Sai Naidu</x:v>
      </x:c>
      <x:c r="D47" t="str">
        <x:v>Female</x:v>
      </x:c>
      <x:c r="E47" t="str">
        <x:v>36-45</x:v>
      </x:c>
      <x:c r="F47" t="str">
        <x:v>Ahmedabad</x:v>
      </x:c>
      <x:c r="G47" t="str">
        <x:v>Gujarat</x:v>
      </x:c>
      <x:c r="H47" t="str">
        <x:v>West</x:v>
      </x:c>
      <x:c r="I47" t="str">
        <x:v>Electronics</x:v>
      </x:c>
      <x:c r="J47" t="str">
        <x:v>Smartwatch</x:v>
      </x:c>
      <x:c r="K47" t="str">
        <x:v>FitTime S2</x:v>
      </x:c>
      <x:c r="L47" t="n">
        <x:v>3</x:v>
      </x:c>
      <x:c r="M47" s="22" t="n">
        <x:v>8412.58</x:v>
      </x:c>
      <x:c r="N47" s="24" t="n">
        <x:v>0.2</x:v>
      </x:c>
      <x:c r="O47" s="22" t="n">
        <x:v>5423.28</x:v>
      </x:c>
      <x:c r="P47" s="22" t="n">
        <x:f>L47*M47*(1-N47)</x:f>
        <x:v>20190.192</x:v>
      </x:c>
      <x:c r="Q47" s="22" t="n">
        <x:f>L47*O47</x:f>
        <x:v>16269.84</x:v>
      </x:c>
      <x:c r="R47" s="22" t="n">
        <x:f>P47-Q47</x:f>
        <x:v>3920.351999999999</x:v>
      </x:c>
      <x:c r="S47" t="str">
        <x:v>Net Banking</x:v>
      </x:c>
      <x:c r="T47" t="str">
        <x:v>Home Office</x:v>
      </x:c>
      <x:c r="U47" t="str">
        <x:v>Mobile App</x:v>
      </x:c>
    </x:row>
    <x:row r="48">
      <x:c r="A48" t="str">
        <x:v>ORD0047</x:v>
      </x:c>
      <x:c r="B48" s="20" t="n">
        <x:v>45896</x:v>
      </x:c>
      <x:c r="C48" t="str">
        <x:v>Pooja Patel</x:v>
      </x:c>
      <x:c r="D48" t="str">
        <x:v>Male</x:v>
      </x:c>
      <x:c r="E48" t="str">
        <x:v>46-60</x:v>
      </x:c>
      <x:c r="F48" t="str">
        <x:v>Chennai</x:v>
      </x:c>
      <x:c r="G48" t="str">
        <x:v>Tamil Nadu</x:v>
      </x:c>
      <x:c r="H48" t="str">
        <x:v>South</x:v>
      </x:c>
      <x:c r="I48" t="str">
        <x:v>Beauty</x:v>
      </x:c>
      <x:c r="J48" t="str">
        <x:v>Makeup</x:v>
      </x:c>
      <x:c r="K48" t="str">
        <x:v>Makeup Kit</x:v>
      </x:c>
      <x:c r="L48" t="n">
        <x:v>2</x:v>
      </x:c>
      <x:c r="M48" s="22" t="n">
        <x:v>3044.39</x:v>
      </x:c>
      <x:c r="N48" s="24" t="n">
        <x:v>0</x:v>
      </x:c>
      <x:c r="O48" s="22" t="n">
        <x:v>1725.12</x:v>
      </x:c>
      <x:c r="P48" s="22" t="n">
        <x:f>L48*M48*(1-N48)</x:f>
        <x:v>6088.78</x:v>
      </x:c>
      <x:c r="Q48" s="22" t="n">
        <x:f>L48*O48</x:f>
        <x:v>3450.24</x:v>
      </x:c>
      <x:c r="R48" s="22" t="n">
        <x:f>P48-Q48</x:f>
        <x:v>2638.54</x:v>
      </x:c>
      <x:c r="S48" t="str">
        <x:v>Debit Card</x:v>
      </x:c>
      <x:c r="T48" t="str">
        <x:v>Consumer</x:v>
      </x:c>
      <x:c r="U48" t="str">
        <x:v>Mobile App</x:v>
      </x:c>
    </x:row>
    <x:row r="49">
      <x:c r="A49" t="str">
        <x:v>ORD0048</x:v>
      </x:c>
      <x:c r="B49" s="20" t="n">
        <x:v>45824</x:v>
      </x:c>
      <x:c r="C49" t="str">
        <x:v>Neha Gupta</x:v>
      </x:c>
      <x:c r="D49" t="str">
        <x:v>Female</x:v>
      </x:c>
      <x:c r="E49" t="str">
        <x:v>26-35</x:v>
      </x:c>
      <x:c r="F49" t="str">
        <x:v>Jaipur</x:v>
      </x:c>
      <x:c r="G49" t="str">
        <x:v>Rajasthan</x:v>
      </x:c>
      <x:c r="H49" t="str">
        <x:v>North</x:v>
      </x:c>
      <x:c r="I49" t="str">
        <x:v>Home &amp; Furniture</x:v>
      </x:c>
      <x:c r="J49" t="str">
        <x:v>Appliances</x:v>
      </x:c>
      <x:c r="K49" t="str">
        <x:v>Air Fryer</x:v>
      </x:c>
      <x:c r="L49" t="n">
        <x:v>3</x:v>
      </x:c>
      <x:c r="M49" s="22" t="n">
        <x:v>7154.54</x:v>
      </x:c>
      <x:c r="N49" s="24" t="n">
        <x:v>0.05</x:v>
      </x:c>
      <x:c r="O49" s="22" t="n">
        <x:v>5221.52</x:v>
      </x:c>
      <x:c r="P49" s="22" t="n">
        <x:f>L49*M49*(1-N49)</x:f>
        <x:v>20390.439</x:v>
      </x:c>
      <x:c r="Q49" s="22" t="n">
        <x:f>L49*O49</x:f>
        <x:v>15664.560000000001</x:v>
      </x:c>
      <x:c r="R49" s="22" t="n">
        <x:f>P49-Q49</x:f>
        <x:v>4725.878999999997</x:v>
      </x:c>
      <x:c r="S49" t="str">
        <x:v>UPI</x:v>
      </x:c>
      <x:c r="T49" t="str">
        <x:v>Consumer</x:v>
      </x:c>
      <x:c r="U49" t="str">
        <x:v>Retail Store</x:v>
      </x:c>
    </x:row>
    <x:row r="50">
      <x:c r="A50" t="str">
        <x:v>ORD0049</x:v>
      </x:c>
      <x:c r="B50" s="20" t="n">
        <x:v>45866</x:v>
      </x:c>
      <x:c r="C50" t="str">
        <x:v>Aarav Reddy</x:v>
      </x:c>
      <x:c r="D50" t="str">
        <x:v>Male</x:v>
      </x:c>
      <x:c r="E50" t="str">
        <x:v>26-35</x:v>
      </x:c>
      <x:c r="F50" t="str">
        <x:v>Bhubaneswar</x:v>
      </x:c>
      <x:c r="G50" t="str">
        <x:v>Odisha</x:v>
      </x:c>
      <x:c r="H50" t="str">
        <x:v>East</x:v>
      </x:c>
      <x:c r="I50" t="str">
        <x:v>Beauty</x:v>
      </x:c>
      <x:c r="J50" t="str">
        <x:v>Makeup</x:v>
      </x:c>
      <x:c r="K50" t="str">
        <x:v>Makeup Kit</x:v>
      </x:c>
      <x:c r="L50" t="n">
        <x:v>4</x:v>
      </x:c>
      <x:c r="M50" s="22" t="n">
        <x:v>3123.92</x:v>
      </x:c>
      <x:c r="N50" s="24" t="n">
        <x:v>0.1</x:v>
      </x:c>
      <x:c r="O50" s="22" t="n">
        <x:v>1776.69</x:v>
      </x:c>
      <x:c r="P50" s="22" t="n">
        <x:f>L50*M50*(1-N50)</x:f>
        <x:v>11246.112000000001</x:v>
      </x:c>
      <x:c r="Q50" s="22" t="n">
        <x:f>L50*O50</x:f>
        <x:v>7106.76</x:v>
      </x:c>
      <x:c r="R50" s="22" t="n">
        <x:f>P50-Q50</x:f>
        <x:v>4139.352000000001</x:v>
      </x:c>
      <x:c r="S50" t="str">
        <x:v>Cash on Delivery</x:v>
      </x:c>
      <x:c r="T50" t="str">
        <x:v>Home Office</x:v>
      </x:c>
      <x:c r="U50" t="str">
        <x:v>Online</x:v>
      </x:c>
    </x:row>
    <x:row r="51">
      <x:c r="A51" t="str">
        <x:v>ORD0050</x:v>
      </x:c>
      <x:c r="B51" s="20" t="n">
        <x:v>45814</x:v>
      </x:c>
      <x:c r="C51" t="str">
        <x:v>Pooja Kumar</x:v>
      </x:c>
      <x:c r="D51" t="str">
        <x:v>Male</x:v>
      </x:c>
      <x:c r="E51" t="str">
        <x:v>36-45</x:v>
      </x:c>
      <x:c r="F51" t="str">
        <x:v>Mumbai</x:v>
      </x:c>
      <x:c r="G51" t="str">
        <x:v>Maharashtra</x:v>
      </x:c>
      <x:c r="H51" t="str">
        <x:v>West</x:v>
      </x:c>
      <x:c r="I51" t="str">
        <x:v>Fashion</x:v>
      </x:c>
      <x:c r="J51" t="str">
        <x:v>Accessories</x:v>
      </x:c>
      <x:c r="K51" t="str">
        <x:v>Backpack</x:v>
      </x:c>
      <x:c r="L51" t="n">
        <x:v>5</x:v>
      </x:c>
      <x:c r="M51" s="22" t="n">
        <x:v>2218.82</x:v>
      </x:c>
      <x:c r="N51" s="24" t="n">
        <x:v>0.05</x:v>
      </x:c>
      <x:c r="O51" s="22" t="n">
        <x:v>1283.75</x:v>
      </x:c>
      <x:c r="P51" s="22" t="n">
        <x:f>L51*M51*(1-N51)</x:f>
        <x:v>10539.395</x:v>
      </x:c>
      <x:c r="Q51" s="22" t="n">
        <x:f>L51*O51</x:f>
        <x:v>6418.75</x:v>
      </x:c>
      <x:c r="R51" s="22" t="n">
        <x:f>P51-Q51</x:f>
        <x:v>4120.645</x:v>
      </x:c>
      <x:c r="S51" t="str">
        <x:v>Credit Card</x:v>
      </x:c>
      <x:c r="T51" t="str">
        <x:v>Consumer</x:v>
      </x:c>
      <x:c r="U51" t="str">
        <x:v>Retail Store</x:v>
      </x:c>
    </x:row>
    <x:row r="52">
      <x:c r="A52" t="str">
        <x:v>ORD0051</x:v>
      </x:c>
      <x:c r="B52" s="20" t="n">
        <x:v>45756</x:v>
      </x:c>
      <x:c r="C52" t="str">
        <x:v>Sneha Kumar</x:v>
      </x:c>
      <x:c r="D52" t="str">
        <x:v>Male</x:v>
      </x:c>
      <x:c r="E52" t="str">
        <x:v>18-25</x:v>
      </x:c>
      <x:c r="F52" t="str">
        <x:v>Bengaluru</x:v>
      </x:c>
      <x:c r="G52" t="str">
        <x:v>Karnataka</x:v>
      </x:c>
      <x:c r="H52" t="str">
        <x:v>South</x:v>
      </x:c>
      <x:c r="I52" t="str">
        <x:v>Fashion</x:v>
      </x:c>
      <x:c r="J52" t="str">
        <x:v>Men</x:v>
      </x:c>
      <x:c r="K52" t="str">
        <x:v>Casual Shirt</x:v>
      </x:c>
      <x:c r="L52" t="n">
        <x:v>2</x:v>
      </x:c>
      <x:c r="M52" s="22" t="n">
        <x:v>1662.18</x:v>
      </x:c>
      <x:c r="N52" s="24" t="n">
        <x:v>0</x:v>
      </x:c>
      <x:c r="O52" s="22" t="n">
        <x:v>932.46</x:v>
      </x:c>
      <x:c r="P52" s="22" t="n">
        <x:f>L52*M52*(1-N52)</x:f>
        <x:v>3324.36</x:v>
      </x:c>
      <x:c r="Q52" s="22" t="n">
        <x:f>L52*O52</x:f>
        <x:v>1864.92</x:v>
      </x:c>
      <x:c r="R52" s="22" t="n">
        <x:f>P52-Q52</x:f>
        <x:v>1459.44</x:v>
      </x:c>
      <x:c r="S52" t="str">
        <x:v>Credit Card</x:v>
      </x:c>
      <x:c r="T52" t="str">
        <x:v>Corporate</x:v>
      </x:c>
      <x:c r="U52" t="str">
        <x:v>Online</x:v>
      </x:c>
    </x:row>
    <x:row r="53">
      <x:c r="A53" t="str">
        <x:v>ORD0052</x:v>
      </x:c>
      <x:c r="B53" s="20" t="n">
        <x:v>45842</x:v>
      </x:c>
      <x:c r="C53" t="str">
        <x:v>Ravi Kumar</x:v>
      </x:c>
      <x:c r="D53" t="str">
        <x:v>Female</x:v>
      </x:c>
      <x:c r="E53" t="str">
        <x:v>46-60</x:v>
      </x:c>
      <x:c r="F53" t="str">
        <x:v>Hyderabad</x:v>
      </x:c>
      <x:c r="G53" t="str">
        <x:v>Telangana</x:v>
      </x:c>
      <x:c r="H53" t="str">
        <x:v>South</x:v>
      </x:c>
      <x:c r="I53" t="str">
        <x:v>Home &amp; Furniture</x:v>
      </x:c>
      <x:c r="J53" t="str">
        <x:v>Appliances</x:v>
      </x:c>
      <x:c r="K53" t="str">
        <x:v>Mixer Grinder</x:v>
      </x:c>
      <x:c r="L53" t="n">
        <x:v>3</x:v>
      </x:c>
      <x:c r="M53" s="22" t="n">
        <x:v>3873.51</x:v>
      </x:c>
      <x:c r="N53" s="24" t="n">
        <x:v>0</x:v>
      </x:c>
      <x:c r="O53" s="22" t="n">
        <x:v>2907.92</x:v>
      </x:c>
      <x:c r="P53" s="22" t="n">
        <x:f>L53*M53*(1-N53)</x:f>
        <x:v>11620.53</x:v>
      </x:c>
      <x:c r="Q53" s="22" t="n">
        <x:f>L53*O53</x:f>
        <x:v>8723.76</x:v>
      </x:c>
      <x:c r="R53" s="22" t="n">
        <x:f>P53-Q53</x:f>
        <x:v>2896.7700000000004</x:v>
      </x:c>
      <x:c r="S53" t="str">
        <x:v>UPI</x:v>
      </x:c>
      <x:c r="T53" t="str">
        <x:v>Consumer</x:v>
      </x:c>
      <x:c r="U53" t="str">
        <x:v>Retail Store</x:v>
      </x:c>
    </x:row>
    <x:row r="54">
      <x:c r="A54" t="str">
        <x:v>ORD0053</x:v>
      </x:c>
      <x:c r="B54" s="20" t="n">
        <x:v>45803</x:v>
      </x:c>
      <x:c r="C54" t="str">
        <x:v>Arjun Reddy</x:v>
      </x:c>
      <x:c r="D54" t="str">
        <x:v>Male</x:v>
      </x:c>
      <x:c r="E54" t="str">
        <x:v>46-60</x:v>
      </x:c>
      <x:c r="F54" t="str">
        <x:v>Ahmedabad</x:v>
      </x:c>
      <x:c r="G54" t="str">
        <x:v>Gujarat</x:v>
      </x:c>
      <x:c r="H54" t="str">
        <x:v>West</x:v>
      </x:c>
      <x:c r="I54" t="str">
        <x:v>Beauty</x:v>
      </x:c>
      <x:c r="J54" t="str">
        <x:v>Haircare</x:v>
      </x:c>
      <x:c r="K54" t="str">
        <x:v>Hair Dryer</x:v>
      </x:c>
      <x:c r="L54" t="n">
        <x:v>1</x:v>
      </x:c>
      <x:c r="M54" s="22" t="n">
        <x:v>2377.14</x:v>
      </x:c>
      <x:c r="N54" s="24" t="n">
        <x:v>0.05</x:v>
      </x:c>
      <x:c r="O54" s="22" t="n">
        <x:v>1413.39</x:v>
      </x:c>
      <x:c r="P54" s="22" t="n">
        <x:f>L54*M54*(1-N54)</x:f>
        <x:v>2258.283</x:v>
      </x:c>
      <x:c r="Q54" s="22" t="n">
        <x:f>L54*O54</x:f>
        <x:v>1413.39</x:v>
      </x:c>
      <x:c r="R54" s="22" t="n">
        <x:f>P54-Q54</x:f>
        <x:v>844.8929999999998</x:v>
      </x:c>
      <x:c r="S54" t="str">
        <x:v>UPI</x:v>
      </x:c>
      <x:c r="T54" t="str">
        <x:v>Home Office</x:v>
      </x:c>
      <x:c r="U54" t="str">
        <x:v>Retail Store</x:v>
      </x:c>
    </x:row>
    <x:row r="55">
      <x:c r="A55" t="str">
        <x:v>ORD0054</x:v>
      </x:c>
      <x:c r="B55" s="20" t="n">
        <x:v>46009</x:v>
      </x:c>
      <x:c r="C55" t="str">
        <x:v>Arjun Gupta</x:v>
      </x:c>
      <x:c r="D55" t="str">
        <x:v>Male</x:v>
      </x:c>
      <x:c r="E55" t="str">
        <x:v>26-35</x:v>
      </x:c>
      <x:c r="F55" t="str">
        <x:v>Bengaluru</x:v>
      </x:c>
      <x:c r="G55" t="str">
        <x:v>Karnataka</x:v>
      </x:c>
      <x:c r="H55" t="str">
        <x:v>South</x:v>
      </x:c>
      <x:c r="I55" t="str">
        <x:v>Electronics</x:v>
      </x:c>
      <x:c r="J55" t="str">
        <x:v>Smartphone</x:v>
      </x:c>
      <x:c r="K55" t="str">
        <x:v>Nova X</x:v>
      </x:c>
      <x:c r="L55" t="n">
        <x:v>3</x:v>
      </x:c>
      <x:c r="M55" s="22" t="n">
        <x:v>30203.89</x:v>
      </x:c>
      <x:c r="N55" s="24" t="n">
        <x:v>0</x:v>
      </x:c>
      <x:c r="O55" s="22" t="n">
        <x:v>24623.17</x:v>
      </x:c>
      <x:c r="P55" s="22" t="n">
        <x:f>L55*M55*(1-N55)</x:f>
        <x:v>90611.67</x:v>
      </x:c>
      <x:c r="Q55" s="22" t="n">
        <x:f>L55*O55</x:f>
        <x:v>73869.51</x:v>
      </x:c>
      <x:c r="R55" s="22" t="n">
        <x:f>P55-Q55</x:f>
        <x:v>16742.160000000003</x:v>
      </x:c>
      <x:c r="S55" t="str">
        <x:v>Net Banking</x:v>
      </x:c>
      <x:c r="T55" t="str">
        <x:v>Corporate</x:v>
      </x:c>
      <x:c r="U55" t="str">
        <x:v>Mobile App</x:v>
      </x:c>
    </x:row>
    <x:row r="56">
      <x:c r="A56" t="str">
        <x:v>ORD0055</x:v>
      </x:c>
      <x:c r="B56" s="20" t="n">
        <x:v>45884</x:v>
      </x:c>
      <x:c r="C56" t="str">
        <x:v>Kiran Patel</x:v>
      </x:c>
      <x:c r="D56" t="str">
        <x:v>Male</x:v>
      </x:c>
      <x:c r="E56" t="str">
        <x:v>18-25</x:v>
      </x:c>
      <x:c r="F56" t="str">
        <x:v>Vijayawada</x:v>
      </x:c>
      <x:c r="G56" t="str">
        <x:v>Andhra Pradesh</x:v>
      </x:c>
      <x:c r="H56" t="str">
        <x:v>South</x:v>
      </x:c>
      <x:c r="I56" t="str">
        <x:v>Fashion</x:v>
      </x:c>
      <x:c r="J56" t="str">
        <x:v>Accessories</x:v>
      </x:c>
      <x:c r="K56" t="str">
        <x:v>Backpack</x:v>
      </x:c>
      <x:c r="L56" t="n">
        <x:v>5</x:v>
      </x:c>
      <x:c r="M56" s="22" t="n">
        <x:v>2131.49</x:v>
      </x:c>
      <x:c r="N56" s="24" t="n">
        <x:v>0.2</x:v>
      </x:c>
      <x:c r="O56" s="22" t="n">
        <x:v>1312.59</x:v>
      </x:c>
      <x:c r="P56" s="22" t="n">
        <x:f>L56*M56*(1-N56)</x:f>
        <x:v>8525.96</x:v>
      </x:c>
      <x:c r="Q56" s="22" t="n">
        <x:f>L56*O56</x:f>
        <x:v>6562.95</x:v>
      </x:c>
      <x:c r="R56" s="22" t="n">
        <x:f>P56-Q56</x:f>
        <x:v>1963.0099999999993</x:v>
      </x:c>
      <x:c r="S56" t="str">
        <x:v>Credit Card</x:v>
      </x:c>
      <x:c r="T56" t="str">
        <x:v>Consumer</x:v>
      </x:c>
      <x:c r="U56" t="str">
        <x:v>Online</x:v>
      </x:c>
    </x:row>
    <x:row r="57">
      <x:c r="A57" t="str">
        <x:v>ORD0056</x:v>
      </x:c>
      <x:c r="B57" s="20" t="n">
        <x:v>45940</x:v>
      </x:c>
      <x:c r="C57" t="str">
        <x:v>Vivaan Patel</x:v>
      </x:c>
      <x:c r="D57" t="str">
        <x:v>Male</x:v>
      </x:c>
      <x:c r="E57" t="str">
        <x:v>36-45</x:v>
      </x:c>
      <x:c r="F57" t="str">
        <x:v>Chennai</x:v>
      </x:c>
      <x:c r="G57" t="str">
        <x:v>Tamil Nadu</x:v>
      </x:c>
      <x:c r="H57" t="str">
        <x:v>South</x:v>
      </x:c>
      <x:c r="I57" t="str">
        <x:v>Electronics</x:v>
      </x:c>
      <x:c r="J57" t="str">
        <x:v>Smartphone</x:v>
      </x:c>
      <x:c r="K57" t="str">
        <x:v>Nova X</x:v>
      </x:c>
      <x:c r="L57" t="n">
        <x:v>5</x:v>
      </x:c>
      <x:c r="M57" s="22" t="n">
        <x:v>29453.7</x:v>
      </x:c>
      <x:c r="N57" s="24" t="n">
        <x:v>0.1</x:v>
      </x:c>
      <x:c r="O57" s="22" t="n">
        <x:v>24402.99</x:v>
      </x:c>
      <x:c r="P57" s="22" t="n">
        <x:f>L57*M57*(1-N57)</x:f>
        <x:v>132541.65</x:v>
      </x:c>
      <x:c r="Q57" s="22" t="n">
        <x:f>L57*O57</x:f>
        <x:v>122014.95000000001</x:v>
      </x:c>
      <x:c r="R57" s="22" t="n">
        <x:f>P57-Q57</x:f>
        <x:v>10526.699999999983</x:v>
      </x:c>
      <x:c r="S57" t="str">
        <x:v>Cash on Delivery</x:v>
      </x:c>
      <x:c r="T57" t="str">
        <x:v>Consumer</x:v>
      </x:c>
      <x:c r="U57" t="str">
        <x:v>Retail Store</x:v>
      </x:c>
    </x:row>
    <x:row r="58">
      <x:c r="A58" t="str">
        <x:v>ORD0057</x:v>
      </x:c>
      <x:c r="B58" s="20" t="n">
        <x:v>45777</x:v>
      </x:c>
      <x:c r="C58" t="str">
        <x:v>Aditya Sharma</x:v>
      </x:c>
      <x:c r="D58" t="str">
        <x:v>Female</x:v>
      </x:c>
      <x:c r="E58" t="str">
        <x:v>36-45</x:v>
      </x:c>
      <x:c r="F58" t="str">
        <x:v>Visakhapatnam</x:v>
      </x:c>
      <x:c r="G58" t="str">
        <x:v>Andhra Pradesh</x:v>
      </x:c>
      <x:c r="H58" t="str">
        <x:v>South</x:v>
      </x:c>
      <x:c r="I58" t="str">
        <x:v>Fashion</x:v>
      </x:c>
      <x:c r="J58" t="str">
        <x:v>Women</x:v>
      </x:c>
      <x:c r="K58" t="str">
        <x:v>Kurti</x:v>
      </x:c>
      <x:c r="L58" t="n">
        <x:v>2</x:v>
      </x:c>
      <x:c r="M58" s="22" t="n">
        <x:v>1778.44</x:v>
      </x:c>
      <x:c r="N58" s="24" t="n">
        <x:v>0.05</x:v>
      </x:c>
      <x:c r="O58" s="22" t="n">
        <x:v>1003.56</x:v>
      </x:c>
      <x:c r="P58" s="22" t="n">
        <x:f>L58*M58*(1-N58)</x:f>
        <x:v>3379.036</x:v>
      </x:c>
      <x:c r="Q58" s="22" t="n">
        <x:f>L58*O58</x:f>
        <x:v>2007.12</x:v>
      </x:c>
      <x:c r="R58" s="22" t="n">
        <x:f>P58-Q58</x:f>
        <x:v>1371.9160000000002</x:v>
      </x:c>
      <x:c r="S58" t="str">
        <x:v>Net Banking</x:v>
      </x:c>
      <x:c r="T58" t="str">
        <x:v>Home Office</x:v>
      </x:c>
      <x:c r="U58" t="str">
        <x:v>Retail Store</x:v>
      </x:c>
    </x:row>
    <x:row r="59">
      <x:c r="A59" t="str">
        <x:v>ORD0058</x:v>
      </x:c>
      <x:c r="B59" s="20" t="n">
        <x:v>45805</x:v>
      </x:c>
      <x:c r="C59" t="str">
        <x:v>Ravi Verma</x:v>
      </x:c>
      <x:c r="D59" t="str">
        <x:v>Male</x:v>
      </x:c>
      <x:c r="E59" t="str">
        <x:v>18-25</x:v>
      </x:c>
      <x:c r="F59" t="str">
        <x:v>Delhi</x:v>
      </x:c>
      <x:c r="G59" t="str">
        <x:v>Delhi</x:v>
      </x:c>
      <x:c r="H59" t="str">
        <x:v>North</x:v>
      </x:c>
      <x:c r="I59" t="str">
        <x:v>Beauty</x:v>
      </x:c>
      <x:c r="J59" t="str">
        <x:v>Skincare</x:v>
      </x:c>
      <x:c r="K59" t="str">
        <x:v>Face Serum</x:v>
      </x:c>
      <x:c r="L59" t="n">
        <x:v>4</x:v>
      </x:c>
      <x:c r="M59" s="22" t="n">
        <x:v>1094.49</x:v>
      </x:c>
      <x:c r="N59" s="24" t="n">
        <x:v>0.05</x:v>
      </x:c>
      <x:c r="O59" s="22" t="n">
        <x:v>590.6</x:v>
      </x:c>
      <x:c r="P59" s="22" t="n">
        <x:f>L59*M59*(1-N59)</x:f>
        <x:v>4159.062</x:v>
      </x:c>
      <x:c r="Q59" s="22" t="n">
        <x:f>L59*O59</x:f>
        <x:v>2362.4</x:v>
      </x:c>
      <x:c r="R59" s="22" t="n">
        <x:f>P59-Q59</x:f>
        <x:v>1796.6619999999998</x:v>
      </x:c>
      <x:c r="S59" t="str">
        <x:v>Net Banking</x:v>
      </x:c>
      <x:c r="T59" t="str">
        <x:v>Consumer</x:v>
      </x:c>
      <x:c r="U59" t="str">
        <x:v>Mobile App</x:v>
      </x:c>
    </x:row>
    <x:row r="60">
      <x:c r="A60" t="str">
        <x:v>ORD0059</x:v>
      </x:c>
      <x:c r="B60" s="20" t="n">
        <x:v>45823</x:v>
      </x:c>
      <x:c r="C60" t="str">
        <x:v>Neha Das</x:v>
      </x:c>
      <x:c r="D60" t="str">
        <x:v>Female</x:v>
      </x:c>
      <x:c r="E60" t="str">
        <x:v>26-35</x:v>
      </x:c>
      <x:c r="F60" t="str">
        <x:v>Hyderabad</x:v>
      </x:c>
      <x:c r="G60" t="str">
        <x:v>Telangana</x:v>
      </x:c>
      <x:c r="H60" t="str">
        <x:v>South</x:v>
      </x:c>
      <x:c r="I60" t="str">
        <x:v>Fashion</x:v>
      </x:c>
      <x:c r="J60" t="str">
        <x:v>Men</x:v>
      </x:c>
      <x:c r="K60" t="str">
        <x:v>Casual Shirt</x:v>
      </x:c>
      <x:c r="L60" t="n">
        <x:v>5</x:v>
      </x:c>
      <x:c r="M60" s="22" t="n">
        <x:v>1495.38</x:v>
      </x:c>
      <x:c r="N60" s="24" t="n">
        <x:v>0.15</x:v>
      </x:c>
      <x:c r="O60" s="22" t="n">
        <x:v>933.26</x:v>
      </x:c>
      <x:c r="P60" s="22" t="n">
        <x:f>L60*M60*(1-N60)</x:f>
        <x:v>6355.365000000001</x:v>
      </x:c>
      <x:c r="Q60" s="22" t="n">
        <x:f>L60*O60</x:f>
        <x:v>4666.3</x:v>
      </x:c>
      <x:c r="R60" s="22" t="n">
        <x:f>P60-Q60</x:f>
        <x:v>1689.0650000000005</x:v>
      </x:c>
      <x:c r="S60" t="str">
        <x:v>Cash on Delivery</x:v>
      </x:c>
      <x:c r="T60" t="str">
        <x:v>Home Office</x:v>
      </x:c>
      <x:c r="U60" t="str">
        <x:v>Retail Store</x:v>
      </x:c>
    </x:row>
    <x:row r="61">
      <x:c r="A61" t="str">
        <x:v>ORD0060</x:v>
      </x:c>
      <x:c r="B61" s="20" t="n">
        <x:v>45884</x:v>
      </x:c>
      <x:c r="C61" t="str">
        <x:v>Kavya Naidu</x:v>
      </x:c>
      <x:c r="D61" t="str">
        <x:v>Male</x:v>
      </x:c>
      <x:c r="E61" t="str">
        <x:v>36-45</x:v>
      </x:c>
      <x:c r="F61" t="str">
        <x:v>Ahmedabad</x:v>
      </x:c>
      <x:c r="G61" t="str">
        <x:v>Gujarat</x:v>
      </x:c>
      <x:c r="H61" t="str">
        <x:v>West</x:v>
      </x:c>
      <x:c r="I61" t="str">
        <x:v>Fashion</x:v>
      </x:c>
      <x:c r="J61" t="str">
        <x:v>Women</x:v>
      </x:c>
      <x:c r="K61" t="str">
        <x:v>Kurti</x:v>
      </x:c>
      <x:c r="L61" t="n">
        <x:v>4</x:v>
      </x:c>
      <x:c r="M61" s="22" t="n">
        <x:v>1943.12</x:v>
      </x:c>
      <x:c r="N61" s="24" t="n">
        <x:v>0</x:v>
      </x:c>
      <x:c r="O61" s="22" t="n">
        <x:v>994.87</x:v>
      </x:c>
      <x:c r="P61" s="22" t="n">
        <x:f>L61*M61*(1-N61)</x:f>
        <x:v>7772.48</x:v>
      </x:c>
      <x:c r="Q61" s="22" t="n">
        <x:f>L61*O61</x:f>
        <x:v>3979.48</x:v>
      </x:c>
      <x:c r="R61" s="22" t="n">
        <x:f>P61-Q61</x:f>
        <x:v>3792.9999999999995</x:v>
      </x:c>
      <x:c r="S61" t="str">
        <x:v>UPI</x:v>
      </x:c>
      <x:c r="T61" t="str">
        <x:v>Consumer</x:v>
      </x:c>
      <x:c r="U61" t="str">
        <x:v>Mobile App</x:v>
      </x:c>
    </x:row>
    <x:row r="62">
      <x:c r="A62" t="str">
        <x:v>ORD0061</x:v>
      </x:c>
      <x:c r="B62" s="20" t="n">
        <x:v>45868</x:v>
      </x:c>
      <x:c r="C62" t="str">
        <x:v>Aditya Singh</x:v>
      </x:c>
      <x:c r="D62" t="str">
        <x:v>Male</x:v>
      </x:c>
      <x:c r="E62" t="str">
        <x:v>36-45</x:v>
      </x:c>
      <x:c r="F62" t="str">
        <x:v>Ahmedabad</x:v>
      </x:c>
      <x:c r="G62" t="str">
        <x:v>Gujarat</x:v>
      </x:c>
      <x:c r="H62" t="str">
        <x:v>West</x:v>
      </x:c>
      <x:c r="I62" t="str">
        <x:v>Beauty</x:v>
      </x:c>
      <x:c r="J62" t="str">
        <x:v>Haircare</x:v>
      </x:c>
      <x:c r="K62" t="str">
        <x:v>Hair Dryer</x:v>
      </x:c>
      <x:c r="L62" t="n">
        <x:v>5</x:v>
      </x:c>
      <x:c r="M62" s="22" t="n">
        <x:v>2462.43</x:v>
      </x:c>
      <x:c r="N62" s="24" t="n">
        <x:v>0</x:v>
      </x:c>
      <x:c r="O62" s="22" t="n">
        <x:v>1438.45</x:v>
      </x:c>
      <x:c r="P62" s="22" t="n">
        <x:f>L62*M62*(1-N62)</x:f>
        <x:v>12312.15</x:v>
      </x:c>
      <x:c r="Q62" s="22" t="n">
        <x:f>L62*O62</x:f>
        <x:v>7192.25</x:v>
      </x:c>
      <x:c r="R62" s="22" t="n">
        <x:f>P62-Q62</x:f>
        <x:v>5119.9</x:v>
      </x:c>
      <x:c r="S62" t="str">
        <x:v>UPI</x:v>
      </x:c>
      <x:c r="T62" t="str">
        <x:v>Corporate</x:v>
      </x:c>
      <x:c r="U62" t="str">
        <x:v>Retail Store</x:v>
      </x:c>
    </x:row>
    <x:row r="63">
      <x:c r="A63" t="str">
        <x:v>ORD0062</x:v>
      </x:c>
      <x:c r="B63" s="20" t="n">
        <x:v>45658</x:v>
      </x:c>
      <x:c r="C63" t="str">
        <x:v>Pooja Sharma</x:v>
      </x:c>
      <x:c r="D63" t="str">
        <x:v>Female</x:v>
      </x:c>
      <x:c r="E63" t="str">
        <x:v>36-45</x:v>
      </x:c>
      <x:c r="F63" t="str">
        <x:v>Lucknow</x:v>
      </x:c>
      <x:c r="G63" t="str">
        <x:v>Uttar Pradesh</x:v>
      </x:c>
      <x:c r="H63" t="str">
        <x:v>North</x:v>
      </x:c>
      <x:c r="I63" t="str">
        <x:v>Beauty</x:v>
      </x:c>
      <x:c r="J63" t="str">
        <x:v>Haircare</x:v>
      </x:c>
      <x:c r="K63" t="str">
        <x:v>Hair Dryer</x:v>
      </x:c>
      <x:c r="L63" t="n">
        <x:v>5</x:v>
      </x:c>
      <x:c r="M63" s="22" t="n">
        <x:v>2228.81</x:v>
      </x:c>
      <x:c r="N63" s="24" t="n">
        <x:v>0.1</x:v>
      </x:c>
      <x:c r="O63" s="22" t="n">
        <x:v>1452.14</x:v>
      </x:c>
      <x:c r="P63" s="22" t="n">
        <x:f>L63*M63*(1-N63)</x:f>
        <x:v>10029.645</x:v>
      </x:c>
      <x:c r="Q63" s="22" t="n">
        <x:f>L63*O63</x:f>
        <x:v>7260.700000000001</x:v>
      </x:c>
      <x:c r="R63" s="22" t="n">
        <x:f>P63-Q63</x:f>
        <x:v>2768.9449999999997</x:v>
      </x:c>
      <x:c r="S63" t="str">
        <x:v>Net Banking</x:v>
      </x:c>
      <x:c r="T63" t="str">
        <x:v>Consumer</x:v>
      </x:c>
      <x:c r="U63" t="str">
        <x:v>Mobile App</x:v>
      </x:c>
    </x:row>
    <x:row r="64">
      <x:c r="A64" t="str">
        <x:v>ORD0063</x:v>
      </x:c>
      <x:c r="B64" s="20" t="n">
        <x:v>45882</x:v>
      </x:c>
      <x:c r="C64" t="str">
        <x:v>Ananya Gupta</x:v>
      </x:c>
      <x:c r="D64" t="str">
        <x:v>Female</x:v>
      </x:c>
      <x:c r="E64" t="str">
        <x:v>46-60</x:v>
      </x:c>
      <x:c r="F64" t="str">
        <x:v>Visakhapatnam</x:v>
      </x:c>
      <x:c r="G64" t="str">
        <x:v>Andhra Pradesh</x:v>
      </x:c>
      <x:c r="H64" t="str">
        <x:v>South</x:v>
      </x:c>
      <x:c r="I64" t="str">
        <x:v>Beauty</x:v>
      </x:c>
      <x:c r="J64" t="str">
        <x:v>Skincare</x:v>
      </x:c>
      <x:c r="K64" t="str">
        <x:v>Face Serum</x:v>
      </x:c>
      <x:c r="L64" t="n">
        <x:v>2</x:v>
      </x:c>
      <x:c r="M64" s="22" t="n">
        <x:v>1017.08</x:v>
      </x:c>
      <x:c r="N64" s="24" t="n">
        <x:v>0.2</x:v>
      </x:c>
      <x:c r="O64" s="22" t="n">
        <x:v>606.24</x:v>
      </x:c>
      <x:c r="P64" s="22" t="n">
        <x:f>L64*M64*(1-N64)</x:f>
        <x:v>1627.3280000000002</x:v>
      </x:c>
      <x:c r="Q64" s="22" t="n">
        <x:f>L64*O64</x:f>
        <x:v>1212.48</x:v>
      </x:c>
      <x:c r="R64" s="22" t="n">
        <x:f>P64-Q64</x:f>
        <x:v>414.8480000000002</x:v>
      </x:c>
      <x:c r="S64" t="str">
        <x:v>UPI</x:v>
      </x:c>
      <x:c r="T64" t="str">
        <x:v>Consumer</x:v>
      </x:c>
      <x:c r="U64" t="str">
        <x:v>Online</x:v>
      </x:c>
    </x:row>
    <x:row r="65">
      <x:c r="A65" t="str">
        <x:v>ORD0064</x:v>
      </x:c>
      <x:c r="B65" s="20" t="n">
        <x:v>45894</x:v>
      </x:c>
      <x:c r="C65" t="str">
        <x:v>Sree Verma</x:v>
      </x:c>
      <x:c r="D65" t="str">
        <x:v>Male</x:v>
      </x:c>
      <x:c r="E65" t="str">
        <x:v>26-35</x:v>
      </x:c>
      <x:c r="F65" t="str">
        <x:v>Chennai</x:v>
      </x:c>
      <x:c r="G65" t="str">
        <x:v>Tamil Nadu</x:v>
      </x:c>
      <x:c r="H65" t="str">
        <x:v>South</x:v>
      </x:c>
      <x:c r="I65" t="str">
        <x:v>Electronics</x:v>
      </x:c>
      <x:c r="J65" t="str">
        <x:v>Smartphone</x:v>
      </x:c>
      <x:c r="K65" t="str">
        <x:v>Nova X</x:v>
      </x:c>
      <x:c r="L65" t="n">
        <x:v>5</x:v>
      </x:c>
      <x:c r="M65" s="22" t="n">
        <x:v>31991.68</x:v>
      </x:c>
      <x:c r="N65" s="24" t="n">
        <x:v>0.2</x:v>
      </x:c>
      <x:c r="O65" s="22" t="n">
        <x:v>24924.54</x:v>
      </x:c>
      <x:c r="P65" s="22" t="n">
        <x:f>L65*M65*(1-N65)</x:f>
        <x:v>127966.72</x:v>
      </x:c>
      <x:c r="Q65" s="22" t="n">
        <x:f>L65*O65</x:f>
        <x:v>124622.70000000001</x:v>
      </x:c>
      <x:c r="R65" s="22" t="n">
        <x:f>P65-Q65</x:f>
        <x:v>3344.0199999999895</x:v>
      </x:c>
      <x:c r="S65" t="str">
        <x:v>Cash on Delivery</x:v>
      </x:c>
      <x:c r="T65" t="str">
        <x:v>Home Office</x:v>
      </x:c>
      <x:c r="U65" t="str">
        <x:v>Online</x:v>
      </x:c>
    </x:row>
    <x:row r="66">
      <x:c r="A66" t="str">
        <x:v>ORD0065</x:v>
      </x:c>
      <x:c r="B66" s="20" t="n">
        <x:v>45854</x:v>
      </x:c>
      <x:c r="C66" t="str">
        <x:v>Meena Kumar</x:v>
      </x:c>
      <x:c r="D66" t="str">
        <x:v>Female</x:v>
      </x:c>
      <x:c r="E66" t="str">
        <x:v>36-45</x:v>
      </x:c>
      <x:c r="F66" t="str">
        <x:v>Bhubaneswar</x:v>
      </x:c>
      <x:c r="G66" t="str">
        <x:v>Odisha</x:v>
      </x:c>
      <x:c r="H66" t="str">
        <x:v>East</x:v>
      </x:c>
      <x:c r="I66" t="str">
        <x:v>Home &amp; Furniture</x:v>
      </x:c>
      <x:c r="J66" t="str">
        <x:v>Furniture</x:v>
      </x:c>
      <x:c r="K66" t="str">
        <x:v>Study Table</x:v>
      </x:c>
      <x:c r="L66" t="n">
        <x:v>4</x:v>
      </x:c>
      <x:c r="M66" s="22" t="n">
        <x:v>13228.05</x:v>
      </x:c>
      <x:c r="N66" s="24" t="n">
        <x:v>0.05</x:v>
      </x:c>
      <x:c r="O66" s="22" t="n">
        <x:v>8642.48</x:v>
      </x:c>
      <x:c r="P66" s="22" t="n">
        <x:f>L66*M66*(1-N66)</x:f>
        <x:v>50266.59</x:v>
      </x:c>
      <x:c r="Q66" s="22" t="n">
        <x:f>L66*O66</x:f>
        <x:v>34569.92</x:v>
      </x:c>
      <x:c r="R66" s="22" t="n">
        <x:f>P66-Q66</x:f>
        <x:v>15696.669999999998</x:v>
      </x:c>
      <x:c r="S66" t="str">
        <x:v>Debit Card</x:v>
      </x:c>
      <x:c r="T66" t="str">
        <x:v>Home Office</x:v>
      </x:c>
      <x:c r="U66" t="str">
        <x:v>Retail Store</x:v>
      </x:c>
    </x:row>
    <x:row r="67">
      <x:c r="A67" t="str">
        <x:v>ORD0066</x:v>
      </x:c>
      <x:c r="B67" s="20" t="n">
        <x:v>45995</x:v>
      </x:c>
      <x:c r="C67" t="str">
        <x:v>Ravi Naidu</x:v>
      </x:c>
      <x:c r="D67" t="str">
        <x:v>Male</x:v>
      </x:c>
      <x:c r="E67" t="str">
        <x:v>36-45</x:v>
      </x:c>
      <x:c r="F67" t="str">
        <x:v>Bhubaneswar</x:v>
      </x:c>
      <x:c r="G67" t="str">
        <x:v>Odisha</x:v>
      </x:c>
      <x:c r="H67" t="str">
        <x:v>East</x:v>
      </x:c>
      <x:c r="I67" t="str">
        <x:v>Beauty</x:v>
      </x:c>
      <x:c r="J67" t="str">
        <x:v>Skincare</x:v>
      </x:c>
      <x:c r="K67" t="str">
        <x:v>Face Serum</x:v>
      </x:c>
      <x:c r="L67" t="n">
        <x:v>3</x:v>
      </x:c>
      <x:c r="M67" s="22" t="n">
        <x:v>1090.59</x:v>
      </x:c>
      <x:c r="N67" s="24" t="n">
        <x:v>0.15</x:v>
      </x:c>
      <x:c r="O67" s="22" t="n">
        <x:v>599.25</x:v>
      </x:c>
      <x:c r="P67" s="22" t="n">
        <x:f>L67*M67*(1-N67)</x:f>
        <x:v>2781.0044999999996</x:v>
      </x:c>
      <x:c r="Q67" s="22" t="n">
        <x:f>L67*O67</x:f>
        <x:v>1797.75</x:v>
      </x:c>
      <x:c r="R67" s="22" t="n">
        <x:f>P67-Q67</x:f>
        <x:v>983.2544999999996</x:v>
      </x:c>
      <x:c r="S67" t="str">
        <x:v>Credit Card</x:v>
      </x:c>
      <x:c r="T67" t="str">
        <x:v>Home Office</x:v>
      </x:c>
      <x:c r="U67" t="str">
        <x:v>Online</x:v>
      </x:c>
    </x:row>
    <x:row r="68">
      <x:c r="A68" t="str">
        <x:v>ORD0067</x:v>
      </x:c>
      <x:c r="B68" s="20" t="n">
        <x:v>45950</x:v>
      </x:c>
      <x:c r="C68" t="str">
        <x:v>Divya Naidu</x:v>
      </x:c>
      <x:c r="D68" t="str">
        <x:v>Female</x:v>
      </x:c>
      <x:c r="E68" t="str">
        <x:v>46-60</x:v>
      </x:c>
      <x:c r="F68" t="str">
        <x:v>Ahmedabad</x:v>
      </x:c>
      <x:c r="G68" t="str">
        <x:v>Gujarat</x:v>
      </x:c>
      <x:c r="H68" t="str">
        <x:v>West</x:v>
      </x:c>
      <x:c r="I68" t="str">
        <x:v>Beauty</x:v>
      </x:c>
      <x:c r="J68" t="str">
        <x:v>Skincare</x:v>
      </x:c>
      <x:c r="K68" t="str">
        <x:v>Face Serum</x:v>
      </x:c>
      <x:c r="L68" t="n">
        <x:v>3</x:v>
      </x:c>
      <x:c r="M68" s="22" t="n">
        <x:v>1162.66</x:v>
      </x:c>
      <x:c r="N68" s="24" t="n">
        <x:v>0.2</x:v>
      </x:c>
      <x:c r="O68" s="22" t="n">
        <x:v>595.72</x:v>
      </x:c>
      <x:c r="P68" s="22" t="n">
        <x:f>L68*M68*(1-N68)</x:f>
        <x:v>2790.3840000000005</x:v>
      </x:c>
      <x:c r="Q68" s="22" t="n">
        <x:f>L68*O68</x:f>
        <x:v>1787.16</x:v>
      </x:c>
      <x:c r="R68" s="22" t="n">
        <x:f>P68-Q68</x:f>
        <x:v>1003.2240000000004</x:v>
      </x:c>
      <x:c r="S68" t="str">
        <x:v>UPI</x:v>
      </x:c>
      <x:c r="T68" t="str">
        <x:v>Consumer</x:v>
      </x:c>
      <x:c r="U68" t="str">
        <x:v>Retail Store</x:v>
      </x:c>
    </x:row>
    <x:row r="69">
      <x:c r="A69" t="str">
        <x:v>ORD0068</x:v>
      </x:c>
      <x:c r="B69" s="20" t="n">
        <x:v>45960</x:v>
      </x:c>
      <x:c r="C69" t="str">
        <x:v>Sai Naidu</x:v>
      </x:c>
      <x:c r="D69" t="str">
        <x:v>Female</x:v>
      </x:c>
      <x:c r="E69" t="str">
        <x:v>18-25</x:v>
      </x:c>
      <x:c r="F69" t="str">
        <x:v>Hyderabad</x:v>
      </x:c>
      <x:c r="G69" t="str">
        <x:v>Telangana</x:v>
      </x:c>
      <x:c r="H69" t="str">
        <x:v>South</x:v>
      </x:c>
      <x:c r="I69" t="str">
        <x:v>Fashion</x:v>
      </x:c>
      <x:c r="J69" t="str">
        <x:v>Men</x:v>
      </x:c>
      <x:c r="K69" t="str">
        <x:v>Casual Shirt</x:v>
      </x:c>
      <x:c r="L69" t="n">
        <x:v>5</x:v>
      </x:c>
      <x:c r="M69" s="22" t="n">
        <x:v>1695.79</x:v>
      </x:c>
      <x:c r="N69" s="24" t="n">
        <x:v>0.1</x:v>
      </x:c>
      <x:c r="O69" s="22" t="n">
        <x:v>895.7</x:v>
      </x:c>
      <x:c r="P69" s="22" t="n">
        <x:f>L69*M69*(1-N69)</x:f>
        <x:v>7631.055000000001</x:v>
      </x:c>
      <x:c r="Q69" s="22" t="n">
        <x:f>L69*O69</x:f>
        <x:v>4478.5</x:v>
      </x:c>
      <x:c r="R69" s="22" t="n">
        <x:f>P69-Q69</x:f>
        <x:v>3152.555000000001</x:v>
      </x:c>
      <x:c r="S69" t="str">
        <x:v>Cash on Delivery</x:v>
      </x:c>
      <x:c r="T69" t="str">
        <x:v>Corporate</x:v>
      </x:c>
      <x:c r="U69" t="str">
        <x:v>Mobile App</x:v>
      </x:c>
    </x:row>
    <x:row r="70">
      <x:c r="A70" t="str">
        <x:v>ORD0069</x:v>
      </x:c>
      <x:c r="B70" s="20" t="n">
        <x:v>45977</x:v>
      </x:c>
      <x:c r="C70" t="str">
        <x:v>Sneha Gupta</x:v>
      </x:c>
      <x:c r="D70" t="str">
        <x:v>Female</x:v>
      </x:c>
      <x:c r="E70" t="str">
        <x:v>18-25</x:v>
      </x:c>
      <x:c r="F70" t="str">
        <x:v>Mumbai</x:v>
      </x:c>
      <x:c r="G70" t="str">
        <x:v>Maharashtra</x:v>
      </x:c>
      <x:c r="H70" t="str">
        <x:v>West</x:v>
      </x:c>
      <x:c r="I70" t="str">
        <x:v>Beauty</x:v>
      </x:c>
      <x:c r="J70" t="str">
        <x:v>Makeup</x:v>
      </x:c>
      <x:c r="K70" t="str">
        <x:v>Makeup Kit</x:v>
      </x:c>
      <x:c r="L70" t="n">
        <x:v>5</x:v>
      </x:c>
      <x:c r="M70" s="22" t="n">
        <x:v>2798.55</x:v>
      </x:c>
      <x:c r="N70" s="24" t="n">
        <x:v>0.1</x:v>
      </x:c>
      <x:c r="O70" s="22" t="n">
        <x:v>1726</x:v>
      </x:c>
      <x:c r="P70" s="22" t="n">
        <x:f>L70*M70*(1-N70)</x:f>
        <x:v>12593.475</x:v>
      </x:c>
      <x:c r="Q70" s="22" t="n">
        <x:f>L70*O70</x:f>
        <x:v>8630</x:v>
      </x:c>
      <x:c r="R70" s="22" t="n">
        <x:f>P70-Q70</x:f>
        <x:v>3963.4750000000004</x:v>
      </x:c>
      <x:c r="S70" t="str">
        <x:v>Credit Card</x:v>
      </x:c>
      <x:c r="T70" t="str">
        <x:v>Home Office</x:v>
      </x:c>
      <x:c r="U70" t="str">
        <x:v>Retail Store</x:v>
      </x:c>
    </x:row>
    <x:row r="71">
      <x:c r="A71" t="str">
        <x:v>ORD0070</x:v>
      </x:c>
      <x:c r="B71" s="20" t="n">
        <x:v>45805</x:v>
      </x:c>
      <x:c r="C71" t="str">
        <x:v>Ananya Sharma</x:v>
      </x:c>
      <x:c r="D71" t="str">
        <x:v>Female</x:v>
      </x:c>
      <x:c r="E71" t="str">
        <x:v>36-45</x:v>
      </x:c>
      <x:c r="F71" t="str">
        <x:v>Visakhapatnam</x:v>
      </x:c>
      <x:c r="G71" t="str">
        <x:v>Andhra Pradesh</x:v>
      </x:c>
      <x:c r="H71" t="str">
        <x:v>South</x:v>
      </x:c>
      <x:c r="I71" t="str">
        <x:v>Home &amp; Furniture</x:v>
      </x:c>
      <x:c r="J71" t="str">
        <x:v>Furniture</x:v>
      </x:c>
      <x:c r="K71" t="str">
        <x:v>Office Chair</x:v>
      </x:c>
      <x:c r="L71" t="n">
        <x:v>1</x:v>
      </x:c>
      <x:c r="M71" s="22" t="n">
        <x:v>8904.92</x:v>
      </x:c>
      <x:c r="N71" s="24" t="n">
        <x:v>0.1</x:v>
      </x:c>
      <x:c r="O71" s="22" t="n">
        <x:v>6000.83</x:v>
      </x:c>
      <x:c r="P71" s="22" t="n">
        <x:f>L71*M71*(1-N71)</x:f>
        <x:v>8014.428</x:v>
      </x:c>
      <x:c r="Q71" s="22" t="n">
        <x:f>L71*O71</x:f>
        <x:v>6000.83</x:v>
      </x:c>
      <x:c r="R71" s="22" t="n">
        <x:f>P71-Q71</x:f>
        <x:v>2013.598</x:v>
      </x:c>
      <x:c r="S71" t="str">
        <x:v>UPI</x:v>
      </x:c>
      <x:c r="T71" t="str">
        <x:v>Corporate</x:v>
      </x:c>
      <x:c r="U71" t="str">
        <x:v>Mobile App</x:v>
      </x:c>
    </x:row>
    <x:row r="72">
      <x:c r="A72" t="str">
        <x:v>ORD0071</x:v>
      </x:c>
      <x:c r="B72" s="20" t="n">
        <x:v>45849</x:v>
      </x:c>
      <x:c r="C72" t="str">
        <x:v>Aditya Das</x:v>
      </x:c>
      <x:c r="D72" t="str">
        <x:v>Male</x:v>
      </x:c>
      <x:c r="E72" t="str">
        <x:v>26-35</x:v>
      </x:c>
      <x:c r="F72" t="str">
        <x:v>Visakhapatnam</x:v>
      </x:c>
      <x:c r="G72" t="str">
        <x:v>Andhra Pradesh</x:v>
      </x:c>
      <x:c r="H72" t="str">
        <x:v>South</x:v>
      </x:c>
      <x:c r="I72" t="str">
        <x:v>Beauty</x:v>
      </x:c>
      <x:c r="J72" t="str">
        <x:v>Skincare</x:v>
      </x:c>
      <x:c r="K72" t="str">
        <x:v>Face Serum</x:v>
      </x:c>
      <x:c r="L72" t="n">
        <x:v>2</x:v>
      </x:c>
      <x:c r="M72" s="22" t="n">
        <x:v>1054.98</x:v>
      </x:c>
      <x:c r="N72" s="24" t="n">
        <x:v>0</x:v>
      </x:c>
      <x:c r="O72" s="22" t="n">
        <x:v>595.78</x:v>
      </x:c>
      <x:c r="P72" s="22" t="n">
        <x:f>L72*M72*(1-N72)</x:f>
        <x:v>2109.96</x:v>
      </x:c>
      <x:c r="Q72" s="22" t="n">
        <x:f>L72*O72</x:f>
        <x:v>1191.56</x:v>
      </x:c>
      <x:c r="R72" s="22" t="n">
        <x:f>P72-Q72</x:f>
        <x:v>918.4000000000001</x:v>
      </x:c>
      <x:c r="S72" t="str">
        <x:v>Cash on Delivery</x:v>
      </x:c>
      <x:c r="T72" t="str">
        <x:v>Home Office</x:v>
      </x:c>
      <x:c r="U72" t="str">
        <x:v>Online</x:v>
      </x:c>
    </x:row>
    <x:row r="73">
      <x:c r="A73" t="str">
        <x:v>ORD0072</x:v>
      </x:c>
      <x:c r="B73" s="20" t="n">
        <x:v>45776</x:v>
      </x:c>
      <x:c r="C73" t="str">
        <x:v>Ravi Rao</x:v>
      </x:c>
      <x:c r="D73" t="str">
        <x:v>Female</x:v>
      </x:c>
      <x:c r="E73" t="str">
        <x:v>46-60</x:v>
      </x:c>
      <x:c r="F73" t="str">
        <x:v>Chennai</x:v>
      </x:c>
      <x:c r="G73" t="str">
        <x:v>Tamil Nadu</x:v>
      </x:c>
      <x:c r="H73" t="str">
        <x:v>South</x:v>
      </x:c>
      <x:c r="I73" t="str">
        <x:v>Beauty</x:v>
      </x:c>
      <x:c r="J73" t="str">
        <x:v>Makeup</x:v>
      </x:c>
      <x:c r="K73" t="str">
        <x:v>Makeup Kit</x:v>
      </x:c>
      <x:c r="L73" t="n">
        <x:v>1</x:v>
      </x:c>
      <x:c r="M73" s="22" t="n">
        <x:v>2881.91</x:v>
      </x:c>
      <x:c r="N73" s="24" t="n">
        <x:v>0.1</x:v>
      </x:c>
      <x:c r="O73" s="22" t="n">
        <x:v>1715.75</x:v>
      </x:c>
      <x:c r="P73" s="22" t="n">
        <x:f>L73*M73*(1-N73)</x:f>
        <x:v>2593.719</x:v>
      </x:c>
      <x:c r="Q73" s="22" t="n">
        <x:f>L73*O73</x:f>
        <x:v>1715.75</x:v>
      </x:c>
      <x:c r="R73" s="22" t="n">
        <x:f>P73-Q73</x:f>
        <x:v>877.969</x:v>
      </x:c>
      <x:c r="S73" t="str">
        <x:v>Debit Card</x:v>
      </x:c>
      <x:c r="T73" t="str">
        <x:v>Home Office</x:v>
      </x:c>
      <x:c r="U73" t="str">
        <x:v>Mobile App</x:v>
      </x:c>
    </x:row>
    <x:row r="74">
      <x:c r="A74" t="str">
        <x:v>ORD0073</x:v>
      </x:c>
      <x:c r="B74" s="20" t="n">
        <x:v>45985</x:v>
      </x:c>
      <x:c r="C74" t="str">
        <x:v>Arjun Patel</x:v>
      </x:c>
      <x:c r="D74" t="str">
        <x:v>Male</x:v>
      </x:c>
      <x:c r="E74" t="str">
        <x:v>36-45</x:v>
      </x:c>
      <x:c r="F74" t="str">
        <x:v>Ahmedabad</x:v>
      </x:c>
      <x:c r="G74" t="str">
        <x:v>Gujarat</x:v>
      </x:c>
      <x:c r="H74" t="str">
        <x:v>West</x:v>
      </x:c>
      <x:c r="I74" t="str">
        <x:v>Beauty</x:v>
      </x:c>
      <x:c r="J74" t="str">
        <x:v>Makeup</x:v>
      </x:c>
      <x:c r="K74" t="str">
        <x:v>Makeup Kit</x:v>
      </x:c>
      <x:c r="L74" t="n">
        <x:v>2</x:v>
      </x:c>
      <x:c r="M74" s="22" t="n">
        <x:v>2880.05</x:v>
      </x:c>
      <x:c r="N74" s="24" t="n">
        <x:v>0.1</x:v>
      </x:c>
      <x:c r="O74" s="22" t="n">
        <x:v>1798.34</x:v>
      </x:c>
      <x:c r="P74" s="22" t="n">
        <x:f>L74*M74*(1-N74)</x:f>
        <x:v>5184.09</x:v>
      </x:c>
      <x:c r="Q74" s="22" t="n">
        <x:f>L74*O74</x:f>
        <x:v>3596.68</x:v>
      </x:c>
      <x:c r="R74" s="22" t="n">
        <x:f>P74-Q74</x:f>
        <x:v>1587.4100000000003</x:v>
      </x:c>
      <x:c r="S74" t="str">
        <x:v>Net Banking</x:v>
      </x:c>
      <x:c r="T74" t="str">
        <x:v>Corporate</x:v>
      </x:c>
      <x:c r="U74" t="str">
        <x:v>Retail Store</x:v>
      </x:c>
    </x:row>
    <x:row r="75">
      <x:c r="A75" t="str">
        <x:v>ORD0074</x:v>
      </x:c>
      <x:c r="B75" s="20" t="n">
        <x:v>45809</x:v>
      </x:c>
      <x:c r="C75" t="str">
        <x:v>Sneha Kumar</x:v>
      </x:c>
      <x:c r="D75" t="str">
        <x:v>Female</x:v>
      </x:c>
      <x:c r="E75" t="str">
        <x:v>36-45</x:v>
      </x:c>
      <x:c r="F75" t="str">
        <x:v>Kolkata</x:v>
      </x:c>
      <x:c r="G75" t="str">
        <x:v>West Bengal</x:v>
      </x:c>
      <x:c r="H75" t="str">
        <x:v>East</x:v>
      </x:c>
      <x:c r="I75" t="str">
        <x:v>Electronics</x:v>
      </x:c>
      <x:c r="J75" t="str">
        <x:v>Smartwatch</x:v>
      </x:c>
      <x:c r="K75" t="str">
        <x:v>FitTime S2</x:v>
      </x:c>
      <x:c r="L75" t="n">
        <x:v>1</x:v>
      </x:c>
      <x:c r="M75" s="22" t="n">
        <x:v>7711.33</x:v>
      </x:c>
      <x:c r="N75" s="24" t="n">
        <x:v>0.15</x:v>
      </x:c>
      <x:c r="O75" s="22" t="n">
        <x:v>5629.54</x:v>
      </x:c>
      <x:c r="P75" s="22" t="n">
        <x:f>L75*M75*(1-N75)</x:f>
        <x:v>6554.6305</x:v>
      </x:c>
      <x:c r="Q75" s="22" t="n">
        <x:f>L75*O75</x:f>
        <x:v>5629.54</x:v>
      </x:c>
      <x:c r="R75" s="22" t="n">
        <x:f>P75-Q75</x:f>
        <x:v>925.0905000000002</x:v>
      </x:c>
      <x:c r="S75" t="str">
        <x:v>Credit Card</x:v>
      </x:c>
      <x:c r="T75" t="str">
        <x:v>Home Office</x:v>
      </x:c>
      <x:c r="U75" t="str">
        <x:v>Online</x:v>
      </x:c>
    </x:row>
    <x:row r="76">
      <x:c r="A76" t="str">
        <x:v>ORD0075</x:v>
      </x:c>
      <x:c r="B76" s="20" t="n">
        <x:v>45975</x:v>
      </x:c>
      <x:c r="C76" t="str">
        <x:v>Pooja Sharma</x:v>
      </x:c>
      <x:c r="D76" t="str">
        <x:v>Male</x:v>
      </x:c>
      <x:c r="E76" t="str">
        <x:v>26-35</x:v>
      </x:c>
      <x:c r="F76" t="str">
        <x:v>Bhubaneswar</x:v>
      </x:c>
      <x:c r="G76" t="str">
        <x:v>Odisha</x:v>
      </x:c>
      <x:c r="H76" t="str">
        <x:v>East</x:v>
      </x:c>
      <x:c r="I76" t="str">
        <x:v>Fashion</x:v>
      </x:c>
      <x:c r="J76" t="str">
        <x:v>Women</x:v>
      </x:c>
      <x:c r="K76" t="str">
        <x:v>Kurti</x:v>
      </x:c>
      <x:c r="L76" t="n">
        <x:v>1</x:v>
      </x:c>
      <x:c r="M76" s="22" t="n">
        <x:v>1836.94</x:v>
      </x:c>
      <x:c r="N76" s="24" t="n">
        <x:v>0.05</x:v>
      </x:c>
      <x:c r="O76" s="22" t="n">
        <x:v>1032.27</x:v>
      </x:c>
      <x:c r="P76" s="22" t="n">
        <x:f>L76*M76*(1-N76)</x:f>
        <x:v>1745.093</x:v>
      </x:c>
      <x:c r="Q76" s="22" t="n">
        <x:f>L76*O76</x:f>
        <x:v>1032.27</x:v>
      </x:c>
      <x:c r="R76" s="22" t="n">
        <x:f>P76-Q76</x:f>
        <x:v>712.8230000000001</x:v>
      </x:c>
      <x:c r="S76" t="str">
        <x:v>UPI</x:v>
      </x:c>
      <x:c r="T76" t="str">
        <x:v>Corporate</x:v>
      </x:c>
      <x:c r="U76" t="str">
        <x:v>Mobile App</x:v>
      </x:c>
    </x:row>
    <x:row r="77">
      <x:c r="A77" t="str">
        <x:v>ORD0076</x:v>
      </x:c>
      <x:c r="B77" s="20" t="n">
        <x:v>45870</x:v>
      </x:c>
      <x:c r="C77" t="str">
        <x:v>Neha Rao</x:v>
      </x:c>
      <x:c r="D77" t="str">
        <x:v>Male</x:v>
      </x:c>
      <x:c r="E77" t="str">
        <x:v>46-60</x:v>
      </x:c>
      <x:c r="F77" t="str">
        <x:v>Delhi</x:v>
      </x:c>
      <x:c r="G77" t="str">
        <x:v>Delhi</x:v>
      </x:c>
      <x:c r="H77" t="str">
        <x:v>North</x:v>
      </x:c>
      <x:c r="I77" t="str">
        <x:v>Home &amp; Furniture</x:v>
      </x:c>
      <x:c r="J77" t="str">
        <x:v>Furniture</x:v>
      </x:c>
      <x:c r="K77" t="str">
        <x:v>Study Table</x:v>
      </x:c>
      <x:c r="L77" t="n">
        <x:v>3</x:v>
      </x:c>
      <x:c r="M77" s="22" t="n">
        <x:v>11764.32</x:v>
      </x:c>
      <x:c r="N77" s="24" t="n">
        <x:v>0.15</x:v>
      </x:c>
      <x:c r="O77" s="22" t="n">
        <x:v>8827.74</x:v>
      </x:c>
      <x:c r="P77" s="22" t="n">
        <x:f>L77*M77*(1-N77)</x:f>
        <x:v>29999.016</x:v>
      </x:c>
      <x:c r="Q77" s="22" t="n">
        <x:f>L77*O77</x:f>
        <x:v>26483.22</x:v>
      </x:c>
      <x:c r="R77" s="22" t="n">
        <x:f>P77-Q77</x:f>
        <x:v>3515.7959999999985</x:v>
      </x:c>
      <x:c r="S77" t="str">
        <x:v>Debit Card</x:v>
      </x:c>
      <x:c r="T77" t="str">
        <x:v>Home Office</x:v>
      </x:c>
      <x:c r="U77" t="str">
        <x:v>Mobile App</x:v>
      </x:c>
    </x:row>
    <x:row r="78">
      <x:c r="A78" t="str">
        <x:v>ORD0077</x:v>
      </x:c>
      <x:c r="B78" s="20" t="n">
        <x:v>45716</x:v>
      </x:c>
      <x:c r="C78" t="str">
        <x:v>Aditya Naidu</x:v>
      </x:c>
      <x:c r="D78" t="str">
        <x:v>Female</x:v>
      </x:c>
      <x:c r="E78" t="str">
        <x:v>36-45</x:v>
      </x:c>
      <x:c r="F78" t="str">
        <x:v>Mumbai</x:v>
      </x:c>
      <x:c r="G78" t="str">
        <x:v>Maharashtra</x:v>
      </x:c>
      <x:c r="H78" t="str">
        <x:v>West</x:v>
      </x:c>
      <x:c r="I78" t="str">
        <x:v>Beauty</x:v>
      </x:c>
      <x:c r="J78" t="str">
        <x:v>Skincare</x:v>
      </x:c>
      <x:c r="K78" t="str">
        <x:v>Face Serum</x:v>
      </x:c>
      <x:c r="L78" t="n">
        <x:v>4</x:v>
      </x:c>
      <x:c r="M78" s="22" t="n">
        <x:v>1036.77</x:v>
      </x:c>
      <x:c r="N78" s="24" t="n">
        <x:v>0.15</x:v>
      </x:c>
      <x:c r="O78" s="22" t="n">
        <x:v>622.39</x:v>
      </x:c>
      <x:c r="P78" s="22" t="n">
        <x:f>L78*M78*(1-N78)</x:f>
        <x:v>3525.018</x:v>
      </x:c>
      <x:c r="Q78" s="22" t="n">
        <x:f>L78*O78</x:f>
        <x:v>2489.56</x:v>
      </x:c>
      <x:c r="R78" s="22" t="n">
        <x:f>P78-Q78</x:f>
        <x:v>1035.458</x:v>
      </x:c>
      <x:c r="S78" t="str">
        <x:v>Net Banking</x:v>
      </x:c>
      <x:c r="T78" t="str">
        <x:v>Consumer</x:v>
      </x:c>
      <x:c r="U78" t="str">
        <x:v>Mobile App</x:v>
      </x:c>
    </x:row>
    <x:row r="79">
      <x:c r="A79" t="str">
        <x:v>ORD0078</x:v>
      </x:c>
      <x:c r="B79" s="20" t="n">
        <x:v>45846</x:v>
      </x:c>
      <x:c r="C79" t="str">
        <x:v>Sneha Sharma</x:v>
      </x:c>
      <x:c r="D79" t="str">
        <x:v>Male</x:v>
      </x:c>
      <x:c r="E79" t="str">
        <x:v>26-35</x:v>
      </x:c>
      <x:c r="F79" t="str">
        <x:v>Bengaluru</x:v>
      </x:c>
      <x:c r="G79" t="str">
        <x:v>Karnataka</x:v>
      </x:c>
      <x:c r="H79" t="str">
        <x:v>South</x:v>
      </x:c>
      <x:c r="I79" t="str">
        <x:v>Fashion</x:v>
      </x:c>
      <x:c r="J79" t="str">
        <x:v>Accessories</x:v>
      </x:c>
      <x:c r="K79" t="str">
        <x:v>Backpack</x:v>
      </x:c>
      <x:c r="L79" t="n">
        <x:v>1</x:v>
      </x:c>
      <x:c r="M79" s="22" t="n">
        <x:v>2313.49</x:v>
      </x:c>
      <x:c r="N79" s="24" t="n">
        <x:v>0.2</x:v>
      </x:c>
      <x:c r="O79" s="22" t="n">
        <x:v>1345.79</x:v>
      </x:c>
      <x:c r="P79" s="22" t="n">
        <x:f>L79*M79*(1-N79)</x:f>
        <x:v>1850.792</x:v>
      </x:c>
      <x:c r="Q79" s="22" t="n">
        <x:f>L79*O79</x:f>
        <x:v>1345.79</x:v>
      </x:c>
      <x:c r="R79" s="22" t="n">
        <x:f>P79-Q79</x:f>
        <x:v>505.00199999999995</x:v>
      </x:c>
      <x:c r="S79" t="str">
        <x:v>UPI</x:v>
      </x:c>
      <x:c r="T79" t="str">
        <x:v>Home Office</x:v>
      </x:c>
      <x:c r="U79" t="str">
        <x:v>Mobile App</x:v>
      </x:c>
    </x:row>
    <x:row r="80">
      <x:c r="A80" t="str">
        <x:v>ORD0079</x:v>
      </x:c>
      <x:c r="B80" s="20" t="n">
        <x:v>46016</x:v>
      </x:c>
      <x:c r="C80" t="str">
        <x:v>Arjun Reddy</x:v>
      </x:c>
      <x:c r="D80" t="str">
        <x:v>Female</x:v>
      </x:c>
      <x:c r="E80" t="str">
        <x:v>26-35</x:v>
      </x:c>
      <x:c r="F80" t="str">
        <x:v>Ahmedabad</x:v>
      </x:c>
      <x:c r="G80" t="str">
        <x:v>Gujarat</x:v>
      </x:c>
      <x:c r="H80" t="str">
        <x:v>West</x:v>
      </x:c>
      <x:c r="I80" t="str">
        <x:v>Fashion</x:v>
      </x:c>
      <x:c r="J80" t="str">
        <x:v>Accessories</x:v>
      </x:c>
      <x:c r="K80" t="str">
        <x:v>Backpack</x:v>
      </x:c>
      <x:c r="L80" t="n">
        <x:v>1</x:v>
      </x:c>
      <x:c r="M80" s="22" t="n">
        <x:v>2065.07</x:v>
      </x:c>
      <x:c r="N80" s="24" t="n">
        <x:v>0.05</x:v>
      </x:c>
      <x:c r="O80" s="22" t="n">
        <x:v>1252.72</x:v>
      </x:c>
      <x:c r="P80" s="22" t="n">
        <x:f>L80*M80*(1-N80)</x:f>
        <x:v>1961.8165000000001</x:v>
      </x:c>
      <x:c r="Q80" s="22" t="n">
        <x:f>L80*O80</x:f>
        <x:v>1252.72</x:v>
      </x:c>
      <x:c r="R80" s="22" t="n">
        <x:f>P80-Q80</x:f>
        <x:v>709.0965000000001</x:v>
      </x:c>
      <x:c r="S80" t="str">
        <x:v>Cash on Delivery</x:v>
      </x:c>
      <x:c r="T80" t="str">
        <x:v>Corporate</x:v>
      </x:c>
      <x:c r="U80" t="str">
        <x:v>Mobile App</x:v>
      </x:c>
    </x:row>
    <x:row r="81">
      <x:c r="A81" t="str">
        <x:v>ORD0080</x:v>
      </x:c>
      <x:c r="B81" s="20" t="n">
        <x:v>46001</x:v>
      </x:c>
      <x:c r="C81" t="str">
        <x:v>Sneha Das</x:v>
      </x:c>
      <x:c r="D81" t="str">
        <x:v>Male</x:v>
      </x:c>
      <x:c r="E81" t="str">
        <x:v>36-45</x:v>
      </x:c>
      <x:c r="F81" t="str">
        <x:v>Vijayawada</x:v>
      </x:c>
      <x:c r="G81" t="str">
        <x:v>Andhra Pradesh</x:v>
      </x:c>
      <x:c r="H81" t="str">
        <x:v>South</x:v>
      </x:c>
      <x:c r="I81" t="str">
        <x:v>Beauty</x:v>
      </x:c>
      <x:c r="J81" t="str">
        <x:v>Makeup</x:v>
      </x:c>
      <x:c r="K81" t="str">
        <x:v>Makeup Kit</x:v>
      </x:c>
      <x:c r="L81" t="n">
        <x:v>4</x:v>
      </x:c>
      <x:c r="M81" s="22" t="n">
        <x:v>3116.29</x:v>
      </x:c>
      <x:c r="N81" s="24" t="n">
        <x:v>0.2</x:v>
      </x:c>
      <x:c r="O81" s="22" t="n">
        <x:v>1701.63</x:v>
      </x:c>
      <x:c r="P81" s="22" t="n">
        <x:f>L81*M81*(1-N81)</x:f>
        <x:v>9972.128</x:v>
      </x:c>
      <x:c r="Q81" s="22" t="n">
        <x:f>L81*O81</x:f>
        <x:v>6806.52</x:v>
      </x:c>
      <x:c r="R81" s="22" t="n">
        <x:f>P81-Q81</x:f>
        <x:v>3165.608</x:v>
      </x:c>
      <x:c r="S81" t="str">
        <x:v>UPI</x:v>
      </x:c>
      <x:c r="T81" t="str">
        <x:v>Home Office</x:v>
      </x:c>
      <x:c r="U81" t="str">
        <x:v>Mobile App</x:v>
      </x:c>
    </x:row>
    <x:row r="82">
      <x:c r="A82" t="str">
        <x:v>ORD0081</x:v>
      </x:c>
      <x:c r="B82" s="20" t="n">
        <x:v>45769</x:v>
      </x:c>
      <x:c r="C82" t="str">
        <x:v>Ravi Singh</x:v>
      </x:c>
      <x:c r="D82" t="str">
        <x:v>Female</x:v>
      </x:c>
      <x:c r="E82" t="str">
        <x:v>46-60</x:v>
      </x:c>
      <x:c r="F82" t="str">
        <x:v>Mumbai</x:v>
      </x:c>
      <x:c r="G82" t="str">
        <x:v>Maharashtra</x:v>
      </x:c>
      <x:c r="H82" t="str">
        <x:v>West</x:v>
      </x:c>
      <x:c r="I82" t="str">
        <x:v>Beauty</x:v>
      </x:c>
      <x:c r="J82" t="str">
        <x:v>Haircare</x:v>
      </x:c>
      <x:c r="K82" t="str">
        <x:v>Hair Dryer</x:v>
      </x:c>
      <x:c r="L82" t="n">
        <x:v>1</x:v>
      </x:c>
      <x:c r="M82" s="22" t="n">
        <x:v>2573.01</x:v>
      </x:c>
      <x:c r="N82" s="24" t="n">
        <x:v>0.2</x:v>
      </x:c>
      <x:c r="O82" s="22" t="n">
        <x:v>1491.23</x:v>
      </x:c>
      <x:c r="P82" s="22" t="n">
        <x:f>L82*M82*(1-N82)</x:f>
        <x:v>2058.4080000000004</x:v>
      </x:c>
      <x:c r="Q82" s="22" t="n">
        <x:f>L82*O82</x:f>
        <x:v>1491.23</x:v>
      </x:c>
      <x:c r="R82" s="22" t="n">
        <x:f>P82-Q82</x:f>
        <x:v>567.1780000000003</x:v>
      </x:c>
      <x:c r="S82" t="str">
        <x:v>Debit Card</x:v>
      </x:c>
      <x:c r="T82" t="str">
        <x:v>Consumer</x:v>
      </x:c>
      <x:c r="U82" t="str">
        <x:v>Online</x:v>
      </x:c>
    </x:row>
    <x:row r="83">
      <x:c r="A83" t="str">
        <x:v>ORD0082</x:v>
      </x:c>
      <x:c r="B83" s="20" t="n">
        <x:v>45890</x:v>
      </x:c>
      <x:c r="C83" t="str">
        <x:v>Priya Patel</x:v>
      </x:c>
      <x:c r="D83" t="str">
        <x:v>Female</x:v>
      </x:c>
      <x:c r="E83" t="str">
        <x:v>26-35</x:v>
      </x:c>
      <x:c r="F83" t="str">
        <x:v>Bhubaneswar</x:v>
      </x:c>
      <x:c r="G83" t="str">
        <x:v>Odisha</x:v>
      </x:c>
      <x:c r="H83" t="str">
        <x:v>East</x:v>
      </x:c>
      <x:c r="I83" t="str">
        <x:v>Electronics</x:v>
      </x:c>
      <x:c r="J83" t="str">
        <x:v>Smartphone</x:v>
      </x:c>
      <x:c r="K83" t="str">
        <x:v>Nova X</x:v>
      </x:c>
      <x:c r="L83" t="n">
        <x:v>1</x:v>
      </x:c>
      <x:c r="M83" s="22" t="n">
        <x:v>32725.53</x:v>
      </x:c>
      <x:c r="N83" s="24" t="n">
        <x:v>0</x:v>
      </x:c>
      <x:c r="O83" s="22" t="n">
        <x:v>24690.41</x:v>
      </x:c>
      <x:c r="P83" s="22" t="n">
        <x:f>L83*M83*(1-N83)</x:f>
        <x:v>32725.53</x:v>
      </x:c>
      <x:c r="Q83" s="22" t="n">
        <x:f>L83*O83</x:f>
        <x:v>24690.41</x:v>
      </x:c>
      <x:c r="R83" s="22" t="n">
        <x:f>P83-Q83</x:f>
        <x:v>8035.119999999999</x:v>
      </x:c>
      <x:c r="S83" t="str">
        <x:v>UPI</x:v>
      </x:c>
      <x:c r="T83" t="str">
        <x:v>Home Office</x:v>
      </x:c>
      <x:c r="U83" t="str">
        <x:v>Online</x:v>
      </x:c>
    </x:row>
    <x:row r="84">
      <x:c r="A84" t="str">
        <x:v>ORD0083</x:v>
      </x:c>
      <x:c r="B84" s="20" t="n">
        <x:v>45958</x:v>
      </x:c>
      <x:c r="C84" t="str">
        <x:v>Sai Rao</x:v>
      </x:c>
      <x:c r="D84" t="str">
        <x:v>Male</x:v>
      </x:c>
      <x:c r="E84" t="str">
        <x:v>26-35</x:v>
      </x:c>
      <x:c r="F84" t="str">
        <x:v>Chennai</x:v>
      </x:c>
      <x:c r="G84" t="str">
        <x:v>Tamil Nadu</x:v>
      </x:c>
      <x:c r="H84" t="str">
        <x:v>South</x:v>
      </x:c>
      <x:c r="I84" t="str">
        <x:v>Home &amp; Furniture</x:v>
      </x:c>
      <x:c r="J84" t="str">
        <x:v>Furniture</x:v>
      </x:c>
      <x:c r="K84" t="str">
        <x:v>Study Table</x:v>
      </x:c>
      <x:c r="L84" t="n">
        <x:v>5</x:v>
      </x:c>
      <x:c r="M84" s="22" t="n">
        <x:v>12157.12</x:v>
      </x:c>
      <x:c r="N84" s="24" t="n">
        <x:v>0</x:v>
      </x:c>
      <x:c r="O84" s="22" t="n">
        <x:v>8551.88</x:v>
      </x:c>
      <x:c r="P84" s="22" t="n">
        <x:f>L84*M84*(1-N84)</x:f>
        <x:v>60785.600000000006</x:v>
      </x:c>
      <x:c r="Q84" s="22" t="n">
        <x:f>L84*O84</x:f>
        <x:v>42759.399999999994</x:v>
      </x:c>
      <x:c r="R84" s="22" t="n">
        <x:f>P84-Q84</x:f>
        <x:v>18026.20000000001</x:v>
      </x:c>
      <x:c r="S84" t="str">
        <x:v>UPI</x:v>
      </x:c>
      <x:c r="T84" t="str">
        <x:v>Home Office</x:v>
      </x:c>
      <x:c r="U84" t="str">
        <x:v>Online</x:v>
      </x:c>
    </x:row>
    <x:row r="85">
      <x:c r="A85" t="str">
        <x:v>ORD0084</x:v>
      </x:c>
      <x:c r="B85" s="20" t="n">
        <x:v>45725</x:v>
      </x:c>
      <x:c r="C85" t="str">
        <x:v>Neha Sharma</x:v>
      </x:c>
      <x:c r="D85" t="str">
        <x:v>Female</x:v>
      </x:c>
      <x:c r="E85" t="str">
        <x:v>46-60</x:v>
      </x:c>
      <x:c r="F85" t="str">
        <x:v>Visakhapatnam</x:v>
      </x:c>
      <x:c r="G85" t="str">
        <x:v>Andhra Pradesh</x:v>
      </x:c>
      <x:c r="H85" t="str">
        <x:v>South</x:v>
      </x:c>
      <x:c r="I85" t="str">
        <x:v>Electronics</x:v>
      </x:c>
      <x:c r="J85" t="str">
        <x:v>Headphones</x:v>
      </x:c>
      <x:c r="K85" t="str">
        <x:v>SoundMax Pro</x:v>
      </x:c>
      <x:c r="L85" t="n">
        <x:v>3</x:v>
      </x:c>
      <x:c r="M85" s="22" t="n">
        <x:v>4708.79</x:v>
      </x:c>
      <x:c r="N85" s="24" t="n">
        <x:v>0</x:v>
      </x:c>
      <x:c r="O85" s="22" t="n">
        <x:v>2937.1</x:v>
      </x:c>
      <x:c r="P85" s="22" t="n">
        <x:f>L85*M85*(1-N85)</x:f>
        <x:v>14126.369999999999</x:v>
      </x:c>
      <x:c r="Q85" s="22" t="n">
        <x:f>L85*O85</x:f>
        <x:v>8811.3</x:v>
      </x:c>
      <x:c r="R85" s="22" t="n">
        <x:f>P85-Q85</x:f>
        <x:v>5315.07</x:v>
      </x:c>
      <x:c r="S85" t="str">
        <x:v>Net Banking</x:v>
      </x:c>
      <x:c r="T85" t="str">
        <x:v>Consumer</x:v>
      </x:c>
      <x:c r="U85" t="str">
        <x:v>Retail Store</x:v>
      </x:c>
    </x:row>
    <x:row r="86">
      <x:c r="A86" t="str">
        <x:v>ORD0085</x:v>
      </x:c>
      <x:c r="B86" s="20" t="n">
        <x:v>45690</x:v>
      </x:c>
      <x:c r="C86" t="str">
        <x:v>Rohit Das</x:v>
      </x:c>
      <x:c r="D86" t="str">
        <x:v>Female</x:v>
      </x:c>
      <x:c r="E86" t="str">
        <x:v>36-45</x:v>
      </x:c>
      <x:c r="F86" t="str">
        <x:v>Delhi</x:v>
      </x:c>
      <x:c r="G86" t="str">
        <x:v>Delhi</x:v>
      </x:c>
      <x:c r="H86" t="str">
        <x:v>North</x:v>
      </x:c>
      <x:c r="I86" t="str">
        <x:v>Beauty</x:v>
      </x:c>
      <x:c r="J86" t="str">
        <x:v>Haircare</x:v>
      </x:c>
      <x:c r="K86" t="str">
        <x:v>Hair Dryer</x:v>
      </x:c>
      <x:c r="L86" t="n">
        <x:v>1</x:v>
      </x:c>
      <x:c r="M86" s="22" t="n">
        <x:v>2506.76</x:v>
      </x:c>
      <x:c r="N86" s="24" t="n">
        <x:v>0.1</x:v>
      </x:c>
      <x:c r="O86" s="22" t="n">
        <x:v>1451.54</x:v>
      </x:c>
      <x:c r="P86" s="22" t="n">
        <x:f>L86*M86*(1-N86)</x:f>
        <x:v>2256.0840000000003</x:v>
      </x:c>
      <x:c r="Q86" s="22" t="n">
        <x:f>L86*O86</x:f>
        <x:v>1451.54</x:v>
      </x:c>
      <x:c r="R86" s="22" t="n">
        <x:f>P86-Q86</x:f>
        <x:v>804.5440000000003</x:v>
      </x:c>
      <x:c r="S86" t="str">
        <x:v>Cash on Delivery</x:v>
      </x:c>
      <x:c r="T86" t="str">
        <x:v>Home Office</x:v>
      </x:c>
      <x:c r="U86" t="str">
        <x:v>Online</x:v>
      </x:c>
    </x:row>
    <x:row r="87">
      <x:c r="A87" t="str">
        <x:v>ORD0086</x:v>
      </x:c>
      <x:c r="B87" s="20" t="n">
        <x:v>45689</x:v>
      </x:c>
      <x:c r="C87" t="str">
        <x:v>Priya Das</x:v>
      </x:c>
      <x:c r="D87" t="str">
        <x:v>Female</x:v>
      </x:c>
      <x:c r="E87" t="str">
        <x:v>18-25</x:v>
      </x:c>
      <x:c r="F87" t="str">
        <x:v>Vijayawada</x:v>
      </x:c>
      <x:c r="G87" t="str">
        <x:v>Andhra Pradesh</x:v>
      </x:c>
      <x:c r="H87" t="str">
        <x:v>South</x:v>
      </x:c>
      <x:c r="I87" t="str">
        <x:v>Beauty</x:v>
      </x:c>
      <x:c r="J87" t="str">
        <x:v>Haircare</x:v>
      </x:c>
      <x:c r="K87" t="str">
        <x:v>Hair Dryer</x:v>
      </x:c>
      <x:c r="L87" t="n">
        <x:v>4</x:v>
      </x:c>
      <x:c r="M87" s="22" t="n">
        <x:v>2371.69</x:v>
      </x:c>
      <x:c r="N87" s="24" t="n">
        <x:v>0</x:v>
      </x:c>
      <x:c r="O87" s="22" t="n">
        <x:v>1404.52</x:v>
      </x:c>
      <x:c r="P87" s="22" t="n">
        <x:f>L87*M87*(1-N87)</x:f>
        <x:v>9486.76</x:v>
      </x:c>
      <x:c r="Q87" s="22" t="n">
        <x:f>L87*O87</x:f>
        <x:v>5618.08</x:v>
      </x:c>
      <x:c r="R87" s="22" t="n">
        <x:f>P87-Q87</x:f>
        <x:v>3868.6800000000003</x:v>
      </x:c>
      <x:c r="S87" t="str">
        <x:v>Credit Card</x:v>
      </x:c>
      <x:c r="T87" t="str">
        <x:v>Corporate</x:v>
      </x:c>
      <x:c r="U87" t="str">
        <x:v>Retail Store</x:v>
      </x:c>
    </x:row>
    <x:row r="88">
      <x:c r="A88" t="str">
        <x:v>ORD0087</x:v>
      </x:c>
      <x:c r="B88" s="20" t="n">
        <x:v>45982</x:v>
      </x:c>
      <x:c r="C88" t="str">
        <x:v>Sree Reddy</x:v>
      </x:c>
      <x:c r="D88" t="str">
        <x:v>Female</x:v>
      </x:c>
      <x:c r="E88" t="str">
        <x:v>26-35</x:v>
      </x:c>
      <x:c r="F88" t="str">
        <x:v>Jaipur</x:v>
      </x:c>
      <x:c r="G88" t="str">
        <x:v>Rajasthan</x:v>
      </x:c>
      <x:c r="H88" t="str">
        <x:v>North</x:v>
      </x:c>
      <x:c r="I88" t="str">
        <x:v>Fashion</x:v>
      </x:c>
      <x:c r="J88" t="str">
        <x:v>Accessories</x:v>
      </x:c>
      <x:c r="K88" t="str">
        <x:v>Backpack</x:v>
      </x:c>
      <x:c r="L88" t="n">
        <x:v>4</x:v>
      </x:c>
      <x:c r="M88" s="22" t="n">
        <x:v>2374.11</x:v>
      </x:c>
      <x:c r="N88" s="24" t="n">
        <x:v>0.15</x:v>
      </x:c>
      <x:c r="O88" s="22" t="n">
        <x:v>1303.18</x:v>
      </x:c>
      <x:c r="P88" s="22" t="n">
        <x:f>L88*M88*(1-N88)</x:f>
        <x:v>8071.974</x:v>
      </x:c>
      <x:c r="Q88" s="22" t="n">
        <x:f>L88*O88</x:f>
        <x:v>5212.72</x:v>
      </x:c>
      <x:c r="R88" s="22" t="n">
        <x:f>P88-Q88</x:f>
        <x:v>2859.254</x:v>
      </x:c>
      <x:c r="S88" t="str">
        <x:v>Cash on Delivery</x:v>
      </x:c>
      <x:c r="T88" t="str">
        <x:v>Corporate</x:v>
      </x:c>
      <x:c r="U88" t="str">
        <x:v>Online</x:v>
      </x:c>
    </x:row>
    <x:row r="89">
      <x:c r="A89" t="str">
        <x:v>ORD0088</x:v>
      </x:c>
      <x:c r="B89" s="20" t="n">
        <x:v>45869</x:v>
      </x:c>
      <x:c r="C89" t="str">
        <x:v>Neha Singh</x:v>
      </x:c>
      <x:c r="D89" t="str">
        <x:v>Female</x:v>
      </x:c>
      <x:c r="E89" t="str">
        <x:v>46-60</x:v>
      </x:c>
      <x:c r="F89" t="str">
        <x:v>Mumbai</x:v>
      </x:c>
      <x:c r="G89" t="str">
        <x:v>Maharashtra</x:v>
      </x:c>
      <x:c r="H89" t="str">
        <x:v>West</x:v>
      </x:c>
      <x:c r="I89" t="str">
        <x:v>Fashion</x:v>
      </x:c>
      <x:c r="J89" t="str">
        <x:v>Accessories</x:v>
      </x:c>
      <x:c r="K89" t="str">
        <x:v>Backpack</x:v>
      </x:c>
      <x:c r="L89" t="n">
        <x:v>3</x:v>
      </x:c>
      <x:c r="M89" s="22" t="n">
        <x:v>2164.35</x:v>
      </x:c>
      <x:c r="N89" s="24" t="n">
        <x:v>0.1</x:v>
      </x:c>
      <x:c r="O89" s="22" t="n">
        <x:v>1323.88</x:v>
      </x:c>
      <x:c r="P89" s="22" t="n">
        <x:f>L89*M89*(1-N89)</x:f>
        <x:v>5843.745</x:v>
      </x:c>
      <x:c r="Q89" s="22" t="n">
        <x:f>L89*O89</x:f>
        <x:v>3971.6400000000003</x:v>
      </x:c>
      <x:c r="R89" s="22" t="n">
        <x:f>P89-Q89</x:f>
        <x:v>1872.1049999999996</x:v>
      </x:c>
      <x:c r="S89" t="str">
        <x:v>UPI</x:v>
      </x:c>
      <x:c r="T89" t="str">
        <x:v>Consumer</x:v>
      </x:c>
      <x:c r="U89" t="str">
        <x:v>Online</x:v>
      </x:c>
    </x:row>
    <x:row r="90">
      <x:c r="A90" t="str">
        <x:v>ORD0089</x:v>
      </x:c>
      <x:c r="B90" s="20" t="n">
        <x:v>45705</x:v>
      </x:c>
      <x:c r="C90" t="str">
        <x:v>Nikhil Gupta</x:v>
      </x:c>
      <x:c r="D90" t="str">
        <x:v>Male</x:v>
      </x:c>
      <x:c r="E90" t="str">
        <x:v>18-25</x:v>
      </x:c>
      <x:c r="F90" t="str">
        <x:v>Hyderabad</x:v>
      </x:c>
      <x:c r="G90" t="str">
        <x:v>Telangana</x:v>
      </x:c>
      <x:c r="H90" t="str">
        <x:v>South</x:v>
      </x:c>
      <x:c r="I90" t="str">
        <x:v>Beauty</x:v>
      </x:c>
      <x:c r="J90" t="str">
        <x:v>Skincare</x:v>
      </x:c>
      <x:c r="K90" t="str">
        <x:v>Face Serum</x:v>
      </x:c>
      <x:c r="L90" t="n">
        <x:v>2</x:v>
      </x:c>
      <x:c r="M90" s="22" t="n">
        <x:v>1143.05</x:v>
      </x:c>
      <x:c r="N90" s="24" t="n">
        <x:v>0.15</x:v>
      </x:c>
      <x:c r="O90" s="22" t="n">
        <x:v>593.89</x:v>
      </x:c>
      <x:c r="P90" s="22" t="n">
        <x:f>L90*M90*(1-N90)</x:f>
        <x:v>1943.185</x:v>
      </x:c>
      <x:c r="Q90" s="22" t="n">
        <x:f>L90*O90</x:f>
        <x:v>1187.78</x:v>
      </x:c>
      <x:c r="R90" s="22" t="n">
        <x:f>P90-Q90</x:f>
        <x:v>755.405</x:v>
      </x:c>
      <x:c r="S90" t="str">
        <x:v>Cash on Delivery</x:v>
      </x:c>
      <x:c r="T90" t="str">
        <x:v>Corporate</x:v>
      </x:c>
      <x:c r="U90" t="str">
        <x:v>Retail Store</x:v>
      </x:c>
    </x:row>
    <x:row r="91">
      <x:c r="A91" t="str">
        <x:v>ORD0090</x:v>
      </x:c>
      <x:c r="B91" s="20" t="n">
        <x:v>45874</x:v>
      </x:c>
      <x:c r="C91" t="str">
        <x:v>Sai Verma</x:v>
      </x:c>
      <x:c r="D91" t="str">
        <x:v>Female</x:v>
      </x:c>
      <x:c r="E91" t="str">
        <x:v>18-25</x:v>
      </x:c>
      <x:c r="F91" t="str">
        <x:v>Bengaluru</x:v>
      </x:c>
      <x:c r="G91" t="str">
        <x:v>Karnataka</x:v>
      </x:c>
      <x:c r="H91" t="str">
        <x:v>South</x:v>
      </x:c>
      <x:c r="I91" t="str">
        <x:v>Electronics</x:v>
      </x:c>
      <x:c r="J91" t="str">
        <x:v>Headphones</x:v>
      </x:c>
      <x:c r="K91" t="str">
        <x:v>SoundMax Pro</x:v>
      </x:c>
      <x:c r="L91" t="n">
        <x:v>5</x:v>
      </x:c>
      <x:c r="M91" s="22" t="n">
        <x:v>4572.3</x:v>
      </x:c>
      <x:c r="N91" s="24" t="n">
        <x:v>0.15</x:v>
      </x:c>
      <x:c r="O91" s="22" t="n">
        <x:v>2964.4</x:v>
      </x:c>
      <x:c r="P91" s="22" t="n">
        <x:f>L91*M91*(1-N91)</x:f>
        <x:v>19432.274999999998</x:v>
      </x:c>
      <x:c r="Q91" s="22" t="n">
        <x:f>L91*O91</x:f>
        <x:v>14822</x:v>
      </x:c>
      <x:c r="R91" s="22" t="n">
        <x:f>P91-Q91</x:f>
        <x:v>4610.274999999998</x:v>
      </x:c>
      <x:c r="S91" t="str">
        <x:v>Debit Card</x:v>
      </x:c>
      <x:c r="T91" t="str">
        <x:v>Home Office</x:v>
      </x:c>
      <x:c r="U91" t="str">
        <x:v>Mobile App</x:v>
      </x:c>
    </x:row>
    <x:row r="92">
      <x:c r="A92" t="str">
        <x:v>ORD0091</x:v>
      </x:c>
      <x:c r="B92" s="20" t="n">
        <x:v>45716</x:v>
      </x:c>
      <x:c r="C92" t="str">
        <x:v>Ravi Sharma</x:v>
      </x:c>
      <x:c r="D92" t="str">
        <x:v>Male</x:v>
      </x:c>
      <x:c r="E92" t="str">
        <x:v>18-25</x:v>
      </x:c>
      <x:c r="F92" t="str">
        <x:v>Lucknow</x:v>
      </x:c>
      <x:c r="G92" t="str">
        <x:v>Uttar Pradesh</x:v>
      </x:c>
      <x:c r="H92" t="str">
        <x:v>North</x:v>
      </x:c>
      <x:c r="I92" t="str">
        <x:v>Fashion</x:v>
      </x:c>
      <x:c r="J92" t="str">
        <x:v>Women</x:v>
      </x:c>
      <x:c r="K92" t="str">
        <x:v>Kurti</x:v>
      </x:c>
      <x:c r="L92" t="n">
        <x:v>5</x:v>
      </x:c>
      <x:c r="M92" s="22" t="n">
        <x:v>1888.48</x:v>
      </x:c>
      <x:c r="N92" s="24" t="n">
        <x:v>0.15</x:v>
      </x:c>
      <x:c r="O92" s="22" t="n">
        <x:v>1027.61</x:v>
      </x:c>
      <x:c r="P92" s="22" t="n">
        <x:f>L92*M92*(1-N92)</x:f>
        <x:v>8026.039999999999</x:v>
      </x:c>
      <x:c r="Q92" s="22" t="n">
        <x:f>L92*O92</x:f>
        <x:v>5138.049999999999</x:v>
      </x:c>
      <x:c r="R92" s="22" t="n">
        <x:f>P92-Q92</x:f>
        <x:v>2887.99</x:v>
      </x:c>
      <x:c r="S92" t="str">
        <x:v>Credit Card</x:v>
      </x:c>
      <x:c r="T92" t="str">
        <x:v>Corporate</x:v>
      </x:c>
      <x:c r="U92" t="str">
        <x:v>Retail Store</x:v>
      </x:c>
    </x:row>
    <x:row r="93">
      <x:c r="A93" t="str">
        <x:v>ORD0092</x:v>
      </x:c>
      <x:c r="B93" s="20" t="n">
        <x:v>45816</x:v>
      </x:c>
      <x:c r="C93" t="str">
        <x:v>Aditya Rao</x:v>
      </x:c>
      <x:c r="D93" t="str">
        <x:v>Female</x:v>
      </x:c>
      <x:c r="E93" t="str">
        <x:v>18-25</x:v>
      </x:c>
      <x:c r="F93" t="str">
        <x:v>Pune</x:v>
      </x:c>
      <x:c r="G93" t="str">
        <x:v>Maharashtra</x:v>
      </x:c>
      <x:c r="H93" t="str">
        <x:v>West</x:v>
      </x:c>
      <x:c r="I93" t="str">
        <x:v>Fashion</x:v>
      </x:c>
      <x:c r="J93" t="str">
        <x:v>Footwear</x:v>
      </x:c>
      <x:c r="K93" t="str">
        <x:v>Running Shoes</x:v>
      </x:c>
      <x:c r="L93" t="n">
        <x:v>5</x:v>
      </x:c>
      <x:c r="M93" s="22" t="n">
        <x:v>3223.42</x:v>
      </x:c>
      <x:c r="N93" s="24" t="n">
        <x:v>0.2</x:v>
      </x:c>
      <x:c r="O93" s="22" t="n">
        <x:v>2265.1</x:v>
      </x:c>
      <x:c r="P93" s="22" t="n">
        <x:f>L93*M93*(1-N93)</x:f>
        <x:v>12893.68</x:v>
      </x:c>
      <x:c r="Q93" s="22" t="n">
        <x:f>L93*O93</x:f>
        <x:v>11325.5</x:v>
      </x:c>
      <x:c r="R93" s="22" t="n">
        <x:f>P93-Q93</x:f>
        <x:v>1568.1800000000003</x:v>
      </x:c>
      <x:c r="S93" t="str">
        <x:v>Net Banking</x:v>
      </x:c>
      <x:c r="T93" t="str">
        <x:v>Consumer</x:v>
      </x:c>
      <x:c r="U93" t="str">
        <x:v>Mobile App</x:v>
      </x:c>
    </x:row>
    <x:row r="94">
      <x:c r="A94" t="str">
        <x:v>ORD0093</x:v>
      </x:c>
      <x:c r="B94" s="20" t="n">
        <x:v>45872</x:v>
      </x:c>
      <x:c r="C94" t="str">
        <x:v>Aditya Sharma</x:v>
      </x:c>
      <x:c r="D94" t="str">
        <x:v>Female</x:v>
      </x:c>
      <x:c r="E94" t="str">
        <x:v>26-35</x:v>
      </x:c>
      <x:c r="F94" t="str">
        <x:v>Jaipur</x:v>
      </x:c>
      <x:c r="G94" t="str">
        <x:v>Rajasthan</x:v>
      </x:c>
      <x:c r="H94" t="str">
        <x:v>North</x:v>
      </x:c>
      <x:c r="I94" t="str">
        <x:v>Beauty</x:v>
      </x:c>
      <x:c r="J94" t="str">
        <x:v>Haircare</x:v>
      </x:c>
      <x:c r="K94" t="str">
        <x:v>Hair Dryer</x:v>
      </x:c>
      <x:c r="L94" t="n">
        <x:v>3</x:v>
      </x:c>
      <x:c r="M94" s="22" t="n">
        <x:v>2268.45</x:v>
      </x:c>
      <x:c r="N94" s="24" t="n">
        <x:v>0.15</x:v>
      </x:c>
      <x:c r="O94" s="22" t="n">
        <x:v>1428.15</x:v>
      </x:c>
      <x:c r="P94" s="22" t="n">
        <x:f>L94*M94*(1-N94)</x:f>
        <x:v>5784.5475</x:v>
      </x:c>
      <x:c r="Q94" s="22" t="n">
        <x:f>L94*O94</x:f>
        <x:v>4284.450000000001</x:v>
      </x:c>
      <x:c r="R94" s="22" t="n">
        <x:f>P94-Q94</x:f>
        <x:v>1500.097499999999</x:v>
      </x:c>
      <x:c r="S94" t="str">
        <x:v>Net Banking</x:v>
      </x:c>
      <x:c r="T94" t="str">
        <x:v>Consumer</x:v>
      </x:c>
      <x:c r="U94" t="str">
        <x:v>Retail Store</x:v>
      </x:c>
    </x:row>
    <x:row r="95">
      <x:c r="A95" t="str">
        <x:v>ORD0094</x:v>
      </x:c>
      <x:c r="B95" s="20" t="n">
        <x:v>45699</x:v>
      </x:c>
      <x:c r="C95" t="str">
        <x:v>Kiran Gupta</x:v>
      </x:c>
      <x:c r="D95" t="str">
        <x:v>Female</x:v>
      </x:c>
      <x:c r="E95" t="str">
        <x:v>36-45</x:v>
      </x:c>
      <x:c r="F95" t="str">
        <x:v>Chennai</x:v>
      </x:c>
      <x:c r="G95" t="str">
        <x:v>Tamil Nadu</x:v>
      </x:c>
      <x:c r="H95" t="str">
        <x:v>South</x:v>
      </x:c>
      <x:c r="I95" t="str">
        <x:v>Fashion</x:v>
      </x:c>
      <x:c r="J95" t="str">
        <x:v>Accessories</x:v>
      </x:c>
      <x:c r="K95" t="str">
        <x:v>Backpack</x:v>
      </x:c>
      <x:c r="L95" t="n">
        <x:v>4</x:v>
      </x:c>
      <x:c r="M95" s="22" t="n">
        <x:v>2257</x:v>
      </x:c>
      <x:c r="N95" s="24" t="n">
        <x:v>0.1</x:v>
      </x:c>
      <x:c r="O95" s="22" t="n">
        <x:v>1298.51</x:v>
      </x:c>
      <x:c r="P95" s="22" t="n">
        <x:f>L95*M95*(1-N95)</x:f>
        <x:v>8125.2</x:v>
      </x:c>
      <x:c r="Q95" s="22" t="n">
        <x:f>L95*O95</x:f>
        <x:v>5194.04</x:v>
      </x:c>
      <x:c r="R95" s="22" t="n">
        <x:f>P95-Q95</x:f>
        <x:v>2931.16</x:v>
      </x:c>
      <x:c r="S95" t="str">
        <x:v>Cash on Delivery</x:v>
      </x:c>
      <x:c r="T95" t="str">
        <x:v>Consumer</x:v>
      </x:c>
      <x:c r="U95" t="str">
        <x:v>Mobile App</x:v>
      </x:c>
    </x:row>
    <x:row r="96">
      <x:c r="A96" t="str">
        <x:v>ORD0095</x:v>
      </x:c>
      <x:c r="B96" s="20" t="n">
        <x:v>46005</x:v>
      </x:c>
      <x:c r="C96" t="str">
        <x:v>Aarav Patel</x:v>
      </x:c>
      <x:c r="D96" t="str">
        <x:v>Male</x:v>
      </x:c>
      <x:c r="E96" t="str">
        <x:v>26-35</x:v>
      </x:c>
      <x:c r="F96" t="str">
        <x:v>Hyderabad</x:v>
      </x:c>
      <x:c r="G96" t="str">
        <x:v>Telangana</x:v>
      </x:c>
      <x:c r="H96" t="str">
        <x:v>South</x:v>
      </x:c>
      <x:c r="I96" t="str">
        <x:v>Beauty</x:v>
      </x:c>
      <x:c r="J96" t="str">
        <x:v>Makeup</x:v>
      </x:c>
      <x:c r="K96" t="str">
        <x:v>Makeup Kit</x:v>
      </x:c>
      <x:c r="L96" t="n">
        <x:v>4</x:v>
      </x:c>
      <x:c r="M96" s="22" t="n">
        <x:v>3080.22</x:v>
      </x:c>
      <x:c r="N96" s="24" t="n">
        <x:v>0.15</x:v>
      </x:c>
      <x:c r="O96" s="22" t="n">
        <x:v>1686.36</x:v>
      </x:c>
      <x:c r="P96" s="22" t="n">
        <x:f>L96*M96*(1-N96)</x:f>
        <x:v>10472.748</x:v>
      </x:c>
      <x:c r="Q96" s="22" t="n">
        <x:f>L96*O96</x:f>
        <x:v>6745.44</x:v>
      </x:c>
      <x:c r="R96" s="22" t="n">
        <x:f>P96-Q96</x:f>
        <x:v>3727.308</x:v>
      </x:c>
      <x:c r="S96" t="str">
        <x:v>Credit Card</x:v>
      </x:c>
      <x:c r="T96" t="str">
        <x:v>Corporate</x:v>
      </x:c>
      <x:c r="U96" t="str">
        <x:v>Mobile App</x:v>
      </x:c>
    </x:row>
    <x:row r="97">
      <x:c r="A97" t="str">
        <x:v>ORD0096</x:v>
      </x:c>
      <x:c r="B97" s="20" t="n">
        <x:v>45825</x:v>
      </x:c>
      <x:c r="C97" t="str">
        <x:v>Rohit Gupta</x:v>
      </x:c>
      <x:c r="D97" t="str">
        <x:v>Male</x:v>
      </x:c>
      <x:c r="E97" t="str">
        <x:v>18-25</x:v>
      </x:c>
      <x:c r="F97" t="str">
        <x:v>Delhi</x:v>
      </x:c>
      <x:c r="G97" t="str">
        <x:v>Delhi</x:v>
      </x:c>
      <x:c r="H97" t="str">
        <x:v>North</x:v>
      </x:c>
      <x:c r="I97" t="str">
        <x:v>Electronics</x:v>
      </x:c>
      <x:c r="J97" t="str">
        <x:v>Laptop</x:v>
      </x:c>
      <x:c r="K97" t="str">
        <x:v>AeroBook 14</x:v>
      </x:c>
      <x:c r="L97" t="n">
        <x:v>2</x:v>
      </x:c>
      <x:c r="M97" s="22" t="n">
        <x:v>61974.06</x:v>
      </x:c>
      <x:c r="N97" s="24" t="n">
        <x:v>0.1</x:v>
      </x:c>
      <x:c r="O97" s="22" t="n">
        <x:v>49722.62</x:v>
      </x:c>
      <x:c r="P97" s="22" t="n">
        <x:f>L97*M97*(1-N97)</x:f>
        <x:v>111553.308</x:v>
      </x:c>
      <x:c r="Q97" s="22" t="n">
        <x:f>L97*O97</x:f>
        <x:v>99445.24</x:v>
      </x:c>
      <x:c r="R97" s="22" t="n">
        <x:f>P97-Q97</x:f>
        <x:v>12108.068</x:v>
      </x:c>
      <x:c r="S97" t="str">
        <x:v>Cash on Delivery</x:v>
      </x:c>
      <x:c r="T97" t="str">
        <x:v>Home Office</x:v>
      </x:c>
      <x:c r="U97" t="str">
        <x:v>Online</x:v>
      </x:c>
    </x:row>
    <x:row r="98">
      <x:c r="A98" t="str">
        <x:v>ORD0097</x:v>
      </x:c>
      <x:c r="B98" s="20" t="n">
        <x:v>45881</x:v>
      </x:c>
      <x:c r="C98" t="str">
        <x:v>Divya Naidu</x:v>
      </x:c>
      <x:c r="D98" t="str">
        <x:v>Male</x:v>
      </x:c>
      <x:c r="E98" t="str">
        <x:v>18-25</x:v>
      </x:c>
      <x:c r="F98" t="str">
        <x:v>Jaipur</x:v>
      </x:c>
      <x:c r="G98" t="str">
        <x:v>Rajasthan</x:v>
      </x:c>
      <x:c r="H98" t="str">
        <x:v>North</x:v>
      </x:c>
      <x:c r="I98" t="str">
        <x:v>Electronics</x:v>
      </x:c>
      <x:c r="J98" t="str">
        <x:v>Smartwatch</x:v>
      </x:c>
      <x:c r="K98" t="str">
        <x:v>FitTime S2</x:v>
      </x:c>
      <x:c r="L98" t="n">
        <x:v>5</x:v>
      </x:c>
      <x:c r="M98" s="22" t="n">
        <x:v>8539.09</x:v>
      </x:c>
      <x:c r="N98" s="24" t="n">
        <x:v>0.1</x:v>
      </x:c>
      <x:c r="O98" s="22" t="n">
        <x:v>5762.23</x:v>
      </x:c>
      <x:c r="P98" s="22" t="n">
        <x:f>L98*M98*(1-N98)</x:f>
        <x:v>38425.905</x:v>
      </x:c>
      <x:c r="Q98" s="22" t="n">
        <x:f>L98*O98</x:f>
        <x:v>28811.149999999998</x:v>
      </x:c>
      <x:c r="R98" s="22" t="n">
        <x:f>P98-Q98</x:f>
        <x:v>9614.755000000001</x:v>
      </x:c>
      <x:c r="S98" t="str">
        <x:v>Cash on Delivery</x:v>
      </x:c>
      <x:c r="T98" t="str">
        <x:v>Consumer</x:v>
      </x:c>
      <x:c r="U98" t="str">
        <x:v>Mobile App</x:v>
      </x:c>
    </x:row>
    <x:row r="99">
      <x:c r="A99" t="str">
        <x:v>ORD0098</x:v>
      </x:c>
      <x:c r="B99" s="20" t="n">
        <x:v>45745</x:v>
      </x:c>
      <x:c r="C99" t="str">
        <x:v>Nikhil Naidu</x:v>
      </x:c>
      <x:c r="D99" t="str">
        <x:v>Female</x:v>
      </x:c>
      <x:c r="E99" t="str">
        <x:v>46-60</x:v>
      </x:c>
      <x:c r="F99" t="str">
        <x:v>Pune</x:v>
      </x:c>
      <x:c r="G99" t="str">
        <x:v>Maharashtra</x:v>
      </x:c>
      <x:c r="H99" t="str">
        <x:v>West</x:v>
      </x:c>
      <x:c r="I99" t="str">
        <x:v>Beauty</x:v>
      </x:c>
      <x:c r="J99" t="str">
        <x:v>Makeup</x:v>
      </x:c>
      <x:c r="K99" t="str">
        <x:v>Makeup Kit</x:v>
      </x:c>
      <x:c r="L99" t="n">
        <x:v>1</x:v>
      </x:c>
      <x:c r="M99" s="22" t="n">
        <x:v>3201.49</x:v>
      </x:c>
      <x:c r="N99" s="24" t="n">
        <x:v>0</x:v>
      </x:c>
      <x:c r="O99" s="22" t="n">
        <x:v>1692.34</x:v>
      </x:c>
      <x:c r="P99" s="22" t="n">
        <x:f>L99*M99*(1-N99)</x:f>
        <x:v>3201.49</x:v>
      </x:c>
      <x:c r="Q99" s="22" t="n">
        <x:f>L99*O99</x:f>
        <x:v>1692.34</x:v>
      </x:c>
      <x:c r="R99" s="22" t="n">
        <x:f>P99-Q99</x:f>
        <x:v>1509.1499999999999</x:v>
      </x:c>
      <x:c r="S99" t="str">
        <x:v>Debit Card</x:v>
      </x:c>
      <x:c r="T99" t="str">
        <x:v>Home Office</x:v>
      </x:c>
      <x:c r="U99" t="str">
        <x:v>Mobile App</x:v>
      </x:c>
    </x:row>
    <x:row r="100">
      <x:c r="A100" t="str">
        <x:v>ORD0099</x:v>
      </x:c>
      <x:c r="B100" s="20" t="n">
        <x:v>45771</x:v>
      </x:c>
      <x:c r="C100" t="str">
        <x:v>Kavya Singh</x:v>
      </x:c>
      <x:c r="D100" t="str">
        <x:v>Female</x:v>
      </x:c>
      <x:c r="E100" t="str">
        <x:v>26-35</x:v>
      </x:c>
      <x:c r="F100" t="str">
        <x:v>Bengaluru</x:v>
      </x:c>
      <x:c r="G100" t="str">
        <x:v>Karnataka</x:v>
      </x:c>
      <x:c r="H100" t="str">
        <x:v>South</x:v>
      </x:c>
      <x:c r="I100" t="str">
        <x:v>Fashion</x:v>
      </x:c>
      <x:c r="J100" t="str">
        <x:v>Women</x:v>
      </x:c>
      <x:c r="K100" t="str">
        <x:v>Kurti</x:v>
      </x:c>
      <x:c r="L100" t="n">
        <x:v>5</x:v>
      </x:c>
      <x:c r="M100" s="22" t="n">
        <x:v>1678</x:v>
      </x:c>
      <x:c r="N100" s="24" t="n">
        <x:v>0.15</x:v>
      </x:c>
      <x:c r="O100" s="22" t="n">
        <x:v>1010.66</x:v>
      </x:c>
      <x:c r="P100" s="22" t="n">
        <x:f>L100*M100*(1-N100)</x:f>
        <x:v>7131.5</x:v>
      </x:c>
      <x:c r="Q100" s="22" t="n">
        <x:f>L100*O100</x:f>
        <x:v>5053.3</x:v>
      </x:c>
      <x:c r="R100" s="22" t="n">
        <x:f>P100-Q100</x:f>
        <x:v>2078.2</x:v>
      </x:c>
      <x:c r="S100" t="str">
        <x:v>UPI</x:v>
      </x:c>
      <x:c r="T100" t="str">
        <x:v>Consumer</x:v>
      </x:c>
      <x:c r="U100" t="str">
        <x:v>Mobile App</x:v>
      </x:c>
    </x:row>
    <x:row r="101">
      <x:c r="A101" t="str">
        <x:v>ORD0100</x:v>
      </x:c>
      <x:c r="B101" s="20" t="n">
        <x:v>45759</x:v>
      </x:c>
      <x:c r="C101" t="str">
        <x:v>Pooja Das</x:v>
      </x:c>
      <x:c r="D101" t="str">
        <x:v>Male</x:v>
      </x:c>
      <x:c r="E101" t="str">
        <x:v>36-45</x:v>
      </x:c>
      <x:c r="F101" t="str">
        <x:v>Ahmedabad</x:v>
      </x:c>
      <x:c r="G101" t="str">
        <x:v>Gujarat</x:v>
      </x:c>
      <x:c r="H101" t="str">
        <x:v>West</x:v>
      </x:c>
      <x:c r="I101" t="str">
        <x:v>Home &amp; Furniture</x:v>
      </x:c>
      <x:c r="J101" t="str">
        <x:v>Furniture</x:v>
      </x:c>
      <x:c r="K101" t="str">
        <x:v>Study Table</x:v>
      </x:c>
      <x:c r="L101" t="n">
        <x:v>2</x:v>
      </x:c>
      <x:c r="M101" s="22" t="n">
        <x:v>13020.43</x:v>
      </x:c>
      <x:c r="N101" s="24" t="n">
        <x:v>0.2</x:v>
      </x:c>
      <x:c r="O101" s="22" t="n">
        <x:v>8909.48</x:v>
      </x:c>
      <x:c r="P101" s="22" t="n">
        <x:f>L101*M101*(1-N101)</x:f>
        <x:v>20832.688000000002</x:v>
      </x:c>
      <x:c r="Q101" s="22" t="n">
        <x:f>L101*O101</x:f>
        <x:v>17818.96</x:v>
      </x:c>
      <x:c r="R101" s="22" t="n">
        <x:f>P101-Q101</x:f>
        <x:v>3013.728000000003</x:v>
      </x:c>
      <x:c r="S101" t="str">
        <x:v>Debit Card</x:v>
      </x:c>
      <x:c r="T101" t="str">
        <x:v>Consumer</x:v>
      </x:c>
      <x:c r="U101" t="str">
        <x:v>Mobile App</x:v>
      </x:c>
    </x:row>
    <x:row r="102">
      <x:c r="A102" t="str">
        <x:v>ORD0101</x:v>
      </x:c>
      <x:c r="B102" s="20" t="n">
        <x:v>45692</x:v>
      </x:c>
      <x:c r="C102" t="str">
        <x:v>Meena Reddy</x:v>
      </x:c>
      <x:c r="D102" t="str">
        <x:v>Male</x:v>
      </x:c>
      <x:c r="E102" t="str">
        <x:v>46-60</x:v>
      </x:c>
      <x:c r="F102" t="str">
        <x:v>Mumbai</x:v>
      </x:c>
      <x:c r="G102" t="str">
        <x:v>Maharashtra</x:v>
      </x:c>
      <x:c r="H102" t="str">
        <x:v>West</x:v>
      </x:c>
      <x:c r="I102" t="str">
        <x:v>Beauty</x:v>
      </x:c>
      <x:c r="J102" t="str">
        <x:v>Haircare</x:v>
      </x:c>
      <x:c r="K102" t="str">
        <x:v>Hair Dryer</x:v>
      </x:c>
      <x:c r="L102" t="n">
        <x:v>5</x:v>
      </x:c>
      <x:c r="M102" s="22" t="n">
        <x:v>2450.45</x:v>
      </x:c>
      <x:c r="N102" s="24" t="n">
        <x:v>0</x:v>
      </x:c>
      <x:c r="O102" s="22" t="n">
        <x:v>1484.37</x:v>
      </x:c>
      <x:c r="P102" s="22" t="n">
        <x:f>L102*M102*(1-N102)</x:f>
        <x:v>12252.25</x:v>
      </x:c>
      <x:c r="Q102" s="22" t="n">
        <x:f>L102*O102</x:f>
        <x:v>7421.849999999999</x:v>
      </x:c>
      <x:c r="R102" s="22" t="n">
        <x:f>P102-Q102</x:f>
        <x:v>4830.400000000001</x:v>
      </x:c>
      <x:c r="S102" t="str">
        <x:v>Cash on Delivery</x:v>
      </x:c>
      <x:c r="T102" t="str">
        <x:v>Consumer</x:v>
      </x:c>
      <x:c r="U102" t="str">
        <x:v>Online</x:v>
      </x:c>
    </x:row>
    <x:row r="103">
      <x:c r="A103" t="str">
        <x:v>ORD0102</x:v>
      </x:c>
      <x:c r="B103" s="20" t="n">
        <x:v>45846</x:v>
      </x:c>
      <x:c r="C103" t="str">
        <x:v>Meena Naidu</x:v>
      </x:c>
      <x:c r="D103" t="str">
        <x:v>Male</x:v>
      </x:c>
      <x:c r="E103" t="str">
        <x:v>18-25</x:v>
      </x:c>
      <x:c r="F103" t="str">
        <x:v>Jaipur</x:v>
      </x:c>
      <x:c r="G103" t="str">
        <x:v>Rajasthan</x:v>
      </x:c>
      <x:c r="H103" t="str">
        <x:v>North</x:v>
      </x:c>
      <x:c r="I103" t="str">
        <x:v>Fashion</x:v>
      </x:c>
      <x:c r="J103" t="str">
        <x:v>Men</x:v>
      </x:c>
      <x:c r="K103" t="str">
        <x:v>Casual Shirt</x:v>
      </x:c>
      <x:c r="L103" t="n">
        <x:v>1</x:v>
      </x:c>
      <x:c r="M103" s="22" t="n">
        <x:v>1637.03</x:v>
      </x:c>
      <x:c r="N103" s="24" t="n">
        <x:v>0.15</x:v>
      </x:c>
      <x:c r="O103" s="22" t="n">
        <x:v>934.37</x:v>
      </x:c>
      <x:c r="P103" s="22" t="n">
        <x:f>L103*M103*(1-N103)</x:f>
        <x:v>1391.4755</x:v>
      </x:c>
      <x:c r="Q103" s="22" t="n">
        <x:f>L103*O103</x:f>
        <x:v>934.37</x:v>
      </x:c>
      <x:c r="R103" s="22" t="n">
        <x:f>P103-Q103</x:f>
        <x:v>457.1055</x:v>
      </x:c>
      <x:c r="S103" t="str">
        <x:v>Cash on Delivery</x:v>
      </x:c>
      <x:c r="T103" t="str">
        <x:v>Home Office</x:v>
      </x:c>
      <x:c r="U103" t="str">
        <x:v>Retail Store</x:v>
      </x:c>
    </x:row>
    <x:row r="104">
      <x:c r="A104" t="str">
        <x:v>ORD0103</x:v>
      </x:c>
      <x:c r="B104" s="20" t="n">
        <x:v>45754</x:v>
      </x:c>
      <x:c r="C104" t="str">
        <x:v>Priya Reddy</x:v>
      </x:c>
      <x:c r="D104" t="str">
        <x:v>Female</x:v>
      </x:c>
      <x:c r="E104" t="str">
        <x:v>18-25</x:v>
      </x:c>
      <x:c r="F104" t="str">
        <x:v>Bhubaneswar</x:v>
      </x:c>
      <x:c r="G104" t="str">
        <x:v>Odisha</x:v>
      </x:c>
      <x:c r="H104" t="str">
        <x:v>East</x:v>
      </x:c>
      <x:c r="I104" t="str">
        <x:v>Fashion</x:v>
      </x:c>
      <x:c r="J104" t="str">
        <x:v>Accessories</x:v>
      </x:c>
      <x:c r="K104" t="str">
        <x:v>Backpack</x:v>
      </x:c>
      <x:c r="L104" t="n">
        <x:v>4</x:v>
      </x:c>
      <x:c r="M104" s="22" t="n">
        <x:v>2200.48</x:v>
      </x:c>
      <x:c r="N104" s="24" t="n">
        <x:v>0</x:v>
      </x:c>
      <x:c r="O104" s="22" t="n">
        <x:v>1347.6</x:v>
      </x:c>
      <x:c r="P104" s="22" t="n">
        <x:f>L104*M104*(1-N104)</x:f>
        <x:v>8801.92</x:v>
      </x:c>
      <x:c r="Q104" s="22" t="n">
        <x:f>L104*O104</x:f>
        <x:v>5390.4</x:v>
      </x:c>
      <x:c r="R104" s="22" t="n">
        <x:f>P104-Q104</x:f>
        <x:v>3411.5200000000004</x:v>
      </x:c>
      <x:c r="S104" t="str">
        <x:v>Credit Card</x:v>
      </x:c>
      <x:c r="T104" t="str">
        <x:v>Home Office</x:v>
      </x:c>
      <x:c r="U104" t="str">
        <x:v>Mobile App</x:v>
      </x:c>
    </x:row>
    <x:row r="105">
      <x:c r="A105" t="str">
        <x:v>ORD0104</x:v>
      </x:c>
      <x:c r="B105" s="20" t="n">
        <x:v>45882</x:v>
      </x:c>
      <x:c r="C105" t="str">
        <x:v>Harsha Sharma</x:v>
      </x:c>
      <x:c r="D105" t="str">
        <x:v>Male</x:v>
      </x:c>
      <x:c r="E105" t="str">
        <x:v>18-25</x:v>
      </x:c>
      <x:c r="F105" t="str">
        <x:v>Lucknow</x:v>
      </x:c>
      <x:c r="G105" t="str">
        <x:v>Uttar Pradesh</x:v>
      </x:c>
      <x:c r="H105" t="str">
        <x:v>North</x:v>
      </x:c>
      <x:c r="I105" t="str">
        <x:v>Home &amp; Furniture</x:v>
      </x:c>
      <x:c r="J105" t="str">
        <x:v>Appliances</x:v>
      </x:c>
      <x:c r="K105" t="str">
        <x:v>Mixer Grinder</x:v>
      </x:c>
      <x:c r="L105" t="n">
        <x:v>4</x:v>
      </x:c>
      <x:c r="M105" s="22" t="n">
        <x:v>4114.56</x:v>
      </x:c>
      <x:c r="N105" s="24" t="n">
        <x:v>0.05</x:v>
      </x:c>
      <x:c r="O105" s="22" t="n">
        <x:v>2849.63</x:v>
      </x:c>
      <x:c r="P105" s="22" t="n">
        <x:f>L105*M105*(1-N105)</x:f>
        <x:v>15635.328000000001</x:v>
      </x:c>
      <x:c r="Q105" s="22" t="n">
        <x:f>L105*O105</x:f>
        <x:v>11398.52</x:v>
      </x:c>
      <x:c r="R105" s="22" t="n">
        <x:f>P105-Q105</x:f>
        <x:v>4236.808000000001</x:v>
      </x:c>
      <x:c r="S105" t="str">
        <x:v>Debit Card</x:v>
      </x:c>
      <x:c r="T105" t="str">
        <x:v>Consumer</x:v>
      </x:c>
      <x:c r="U105" t="str">
        <x:v>Retail Store</x:v>
      </x:c>
    </x:row>
    <x:row r="106">
      <x:c r="A106" t="str">
        <x:v>ORD0105</x:v>
      </x:c>
      <x:c r="B106" s="20" t="n">
        <x:v>46005</x:v>
      </x:c>
      <x:c r="C106" t="str">
        <x:v>Aditya Das</x:v>
      </x:c>
      <x:c r="D106" t="str">
        <x:v>Female</x:v>
      </x:c>
      <x:c r="E106" t="str">
        <x:v>36-45</x:v>
      </x:c>
      <x:c r="F106" t="str">
        <x:v>Mumbai</x:v>
      </x:c>
      <x:c r="G106" t="str">
        <x:v>Maharashtra</x:v>
      </x:c>
      <x:c r="H106" t="str">
        <x:v>West</x:v>
      </x:c>
      <x:c r="I106" t="str">
        <x:v>Beauty</x:v>
      </x:c>
      <x:c r="J106" t="str">
        <x:v>Haircare</x:v>
      </x:c>
      <x:c r="K106" t="str">
        <x:v>Hair Dryer</x:v>
      </x:c>
      <x:c r="L106" t="n">
        <x:v>5</x:v>
      </x:c>
      <x:c r="M106" s="22" t="n">
        <x:v>2304.77</x:v>
      </x:c>
      <x:c r="N106" s="24" t="n">
        <x:v>0</x:v>
      </x:c>
      <x:c r="O106" s="22" t="n">
        <x:v>1490.78</x:v>
      </x:c>
      <x:c r="P106" s="22" t="n">
        <x:f>L106*M106*(1-N106)</x:f>
        <x:v>11523.85</x:v>
      </x:c>
      <x:c r="Q106" s="22" t="n">
        <x:f>L106*O106</x:f>
        <x:v>7453.9</x:v>
      </x:c>
      <x:c r="R106" s="22" t="n">
        <x:f>P106-Q106</x:f>
        <x:v>4069.9500000000007</x:v>
      </x:c>
      <x:c r="S106" t="str">
        <x:v>Debit Card</x:v>
      </x:c>
      <x:c r="T106" t="str">
        <x:v>Home Office</x:v>
      </x:c>
      <x:c r="U106" t="str">
        <x:v>Retail Store</x:v>
      </x:c>
    </x:row>
    <x:row r="107">
      <x:c r="A107" t="str">
        <x:v>ORD0106</x:v>
      </x:c>
      <x:c r="B107" s="20" t="n">
        <x:v>45997</x:v>
      </x:c>
      <x:c r="C107" t="str">
        <x:v>Priya Rao</x:v>
      </x:c>
      <x:c r="D107" t="str">
        <x:v>Female</x:v>
      </x:c>
      <x:c r="E107" t="str">
        <x:v>46-60</x:v>
      </x:c>
      <x:c r="F107" t="str">
        <x:v>Pune</x:v>
      </x:c>
      <x:c r="G107" t="str">
        <x:v>Maharashtra</x:v>
      </x:c>
      <x:c r="H107" t="str">
        <x:v>West</x:v>
      </x:c>
      <x:c r="I107" t="str">
        <x:v>Beauty</x:v>
      </x:c>
      <x:c r="J107" t="str">
        <x:v>Skincare</x:v>
      </x:c>
      <x:c r="K107" t="str">
        <x:v>Face Serum</x:v>
      </x:c>
      <x:c r="L107" t="n">
        <x:v>3</x:v>
      </x:c>
      <x:c r="M107" s="22" t="n">
        <x:v>1116.73</x:v>
      </x:c>
      <x:c r="N107" s="24" t="n">
        <x:v>0.15</x:v>
      </x:c>
      <x:c r="O107" s="22" t="n">
        <x:v>621.02</x:v>
      </x:c>
      <x:c r="P107" s="22" t="n">
        <x:f>L107*M107*(1-N107)</x:f>
        <x:v>2847.6615</x:v>
      </x:c>
      <x:c r="Q107" s="22" t="n">
        <x:f>L107*O107</x:f>
        <x:v>1863.06</x:v>
      </x:c>
      <x:c r="R107" s="22" t="n">
        <x:f>P107-Q107</x:f>
        <x:v>984.6015000000002</x:v>
      </x:c>
      <x:c r="S107" t="str">
        <x:v>Net Banking</x:v>
      </x:c>
      <x:c r="T107" t="str">
        <x:v>Corporate</x:v>
      </x:c>
      <x:c r="U107" t="str">
        <x:v>Online</x:v>
      </x:c>
    </x:row>
    <x:row r="108">
      <x:c r="A108" t="str">
        <x:v>ORD0107</x:v>
      </x:c>
      <x:c r="B108" s="20" t="n">
        <x:v>45843</x:v>
      </x:c>
      <x:c r="C108" t="str">
        <x:v>Sai Rao</x:v>
      </x:c>
      <x:c r="D108" t="str">
        <x:v>Female</x:v>
      </x:c>
      <x:c r="E108" t="str">
        <x:v>36-45</x:v>
      </x:c>
      <x:c r="F108" t="str">
        <x:v>Bengaluru</x:v>
      </x:c>
      <x:c r="G108" t="str">
        <x:v>Karnataka</x:v>
      </x:c>
      <x:c r="H108" t="str">
        <x:v>South</x:v>
      </x:c>
      <x:c r="I108" t="str">
        <x:v>Fashion</x:v>
      </x:c>
      <x:c r="J108" t="str">
        <x:v>Women</x:v>
      </x:c>
      <x:c r="K108" t="str">
        <x:v>Kurti</x:v>
      </x:c>
      <x:c r="L108" t="n">
        <x:v>4</x:v>
      </x:c>
      <x:c r="M108" s="22" t="n">
        <x:v>1929.94</x:v>
      </x:c>
      <x:c r="N108" s="24" t="n">
        <x:v>0</x:v>
      </x:c>
      <x:c r="O108" s="22" t="n">
        <x:v>987.34</x:v>
      </x:c>
      <x:c r="P108" s="22" t="n">
        <x:f>L108*M108*(1-N108)</x:f>
        <x:v>7719.76</x:v>
      </x:c>
      <x:c r="Q108" s="22" t="n">
        <x:f>L108*O108</x:f>
        <x:v>3949.36</x:v>
      </x:c>
      <x:c r="R108" s="22" t="n">
        <x:f>P108-Q108</x:f>
        <x:v>3770.4</x:v>
      </x:c>
      <x:c r="S108" t="str">
        <x:v>UPI</x:v>
      </x:c>
      <x:c r="T108" t="str">
        <x:v>Home Office</x:v>
      </x:c>
      <x:c r="U108" t="str">
        <x:v>Retail Store</x:v>
      </x:c>
    </x:row>
    <x:row r="109">
      <x:c r="A109" t="str">
        <x:v>ORD0108</x:v>
      </x:c>
      <x:c r="B109" s="20" t="n">
        <x:v>45927</x:v>
      </x:c>
      <x:c r="C109" t="str">
        <x:v>Rahul Rao</x:v>
      </x:c>
      <x:c r="D109" t="str">
        <x:v>Female</x:v>
      </x:c>
      <x:c r="E109" t="str">
        <x:v>46-60</x:v>
      </x:c>
      <x:c r="F109" t="str">
        <x:v>Visakhapatnam</x:v>
      </x:c>
      <x:c r="G109" t="str">
        <x:v>Andhra Pradesh</x:v>
      </x:c>
      <x:c r="H109" t="str">
        <x:v>South</x:v>
      </x:c>
      <x:c r="I109" t="str">
        <x:v>Electronics</x:v>
      </x:c>
      <x:c r="J109" t="str">
        <x:v>Headphones</x:v>
      </x:c>
      <x:c r="K109" t="str">
        <x:v>SoundMax Pro</x:v>
      </x:c>
      <x:c r="L109" t="n">
        <x:v>5</x:v>
      </x:c>
      <x:c r="M109" s="22" t="n">
        <x:v>4771</x:v>
      </x:c>
      <x:c r="N109" s="24" t="n">
        <x:v>0.1</x:v>
      </x:c>
      <x:c r="O109" s="22" t="n">
        <x:v>3028.33</x:v>
      </x:c>
      <x:c r="P109" s="22" t="n">
        <x:f>L109*M109*(1-N109)</x:f>
        <x:v>21469.5</x:v>
      </x:c>
      <x:c r="Q109" s="22" t="n">
        <x:f>L109*O109</x:f>
        <x:v>15141.65</x:v>
      </x:c>
      <x:c r="R109" s="22" t="n">
        <x:f>P109-Q109</x:f>
        <x:v>6327.85</x:v>
      </x:c>
      <x:c r="S109" t="str">
        <x:v>UPI</x:v>
      </x:c>
      <x:c r="T109" t="str">
        <x:v>Corporate</x:v>
      </x:c>
      <x:c r="U109" t="str">
        <x:v>Mobile App</x:v>
      </x:c>
    </x:row>
    <x:row r="110">
      <x:c r="A110" t="str">
        <x:v>ORD0109</x:v>
      </x:c>
      <x:c r="B110" s="20" t="n">
        <x:v>46004</x:v>
      </x:c>
      <x:c r="C110" t="str">
        <x:v>Rohit Kumar</x:v>
      </x:c>
      <x:c r="D110" t="str">
        <x:v>Male</x:v>
      </x:c>
      <x:c r="E110" t="str">
        <x:v>26-35</x:v>
      </x:c>
      <x:c r="F110" t="str">
        <x:v>Delhi</x:v>
      </x:c>
      <x:c r="G110" t="str">
        <x:v>Delhi</x:v>
      </x:c>
      <x:c r="H110" t="str">
        <x:v>North</x:v>
      </x:c>
      <x:c r="I110" t="str">
        <x:v>Home &amp; Furniture</x:v>
      </x:c>
      <x:c r="J110" t="str">
        <x:v>Appliances</x:v>
      </x:c>
      <x:c r="K110" t="str">
        <x:v>Air Fryer</x:v>
      </x:c>
      <x:c r="L110" t="n">
        <x:v>4</x:v>
      </x:c>
      <x:c r="M110" s="22" t="n">
        <x:v>7632.71</x:v>
      </x:c>
      <x:c r="N110" s="24" t="n">
        <x:v>0</x:v>
      </x:c>
      <x:c r="O110" s="22" t="n">
        <x:v>5202.98</x:v>
      </x:c>
      <x:c r="P110" s="22" t="n">
        <x:f>L110*M110*(1-N110)</x:f>
        <x:v>30530.84</x:v>
      </x:c>
      <x:c r="Q110" s="22" t="n">
        <x:f>L110*O110</x:f>
        <x:v>20811.92</x:v>
      </x:c>
      <x:c r="R110" s="22" t="n">
        <x:f>P110-Q110</x:f>
        <x:v>9718.920000000002</x:v>
      </x:c>
      <x:c r="S110" t="str">
        <x:v>Debit Card</x:v>
      </x:c>
      <x:c r="T110" t="str">
        <x:v>Home Office</x:v>
      </x:c>
      <x:c r="U110" t="str">
        <x:v>Retail Store</x:v>
      </x:c>
    </x:row>
    <x:row r="111">
      <x:c r="A111" t="str">
        <x:v>ORD0110</x:v>
      </x:c>
      <x:c r="B111" s="20" t="n">
        <x:v>45883</x:v>
      </x:c>
      <x:c r="C111" t="str">
        <x:v>Harsha Rao</x:v>
      </x:c>
      <x:c r="D111" t="str">
        <x:v>Male</x:v>
      </x:c>
      <x:c r="E111" t="str">
        <x:v>18-25</x:v>
      </x:c>
      <x:c r="F111" t="str">
        <x:v>Bengaluru</x:v>
      </x:c>
      <x:c r="G111" t="str">
        <x:v>Karnataka</x:v>
      </x:c>
      <x:c r="H111" t="str">
        <x:v>South</x:v>
      </x:c>
      <x:c r="I111" t="str">
        <x:v>Beauty</x:v>
      </x:c>
      <x:c r="J111" t="str">
        <x:v>Haircare</x:v>
      </x:c>
      <x:c r="K111" t="str">
        <x:v>Hair Dryer</x:v>
      </x:c>
      <x:c r="L111" t="n">
        <x:v>4</x:v>
      </x:c>
      <x:c r="M111" s="22" t="n">
        <x:v>2506.8</x:v>
      </x:c>
      <x:c r="N111" s="24" t="n">
        <x:v>0</x:v>
      </x:c>
      <x:c r="O111" s="22" t="n">
        <x:v>1450.34</x:v>
      </x:c>
      <x:c r="P111" s="22" t="n">
        <x:f>L111*M111*(1-N111)</x:f>
        <x:v>10027.2</x:v>
      </x:c>
      <x:c r="Q111" s="22" t="n">
        <x:f>L111*O111</x:f>
        <x:v>5801.36</x:v>
      </x:c>
      <x:c r="R111" s="22" t="n">
        <x:f>P111-Q111</x:f>
        <x:v>4225.840000000001</x:v>
      </x:c>
      <x:c r="S111" t="str">
        <x:v>Cash on Delivery</x:v>
      </x:c>
      <x:c r="T111" t="str">
        <x:v>Corporate</x:v>
      </x:c>
      <x:c r="U111" t="str">
        <x:v>Retail Store</x:v>
      </x:c>
    </x:row>
    <x:row r="112">
      <x:c r="A112" t="str">
        <x:v>ORD0111</x:v>
      </x:c>
      <x:c r="B112" s="20" t="n">
        <x:v>45710</x:v>
      </x:c>
      <x:c r="C112" t="str">
        <x:v>Sree Reddy</x:v>
      </x:c>
      <x:c r="D112" t="str">
        <x:v>Female</x:v>
      </x:c>
      <x:c r="E112" t="str">
        <x:v>46-60</x:v>
      </x:c>
      <x:c r="F112" t="str">
        <x:v>Visakhapatnam</x:v>
      </x:c>
      <x:c r="G112" t="str">
        <x:v>Andhra Pradesh</x:v>
      </x:c>
      <x:c r="H112" t="str">
        <x:v>South</x:v>
      </x:c>
      <x:c r="I112" t="str">
        <x:v>Electronics</x:v>
      </x:c>
      <x:c r="J112" t="str">
        <x:v>Headphones</x:v>
      </x:c>
      <x:c r="K112" t="str">
        <x:v>SoundMax Pro</x:v>
      </x:c>
      <x:c r="L112" t="n">
        <x:v>4</x:v>
      </x:c>
      <x:c r="M112" s="22" t="n">
        <x:v>4200.39</x:v>
      </x:c>
      <x:c r="N112" s="24" t="n">
        <x:v>0.15</x:v>
      </x:c>
      <x:c r="O112" s="22" t="n">
        <x:v>2918.47</x:v>
      </x:c>
      <x:c r="P112" s="22" t="n">
        <x:f>L112*M112*(1-N112)</x:f>
        <x:v>14281.326000000001</x:v>
      </x:c>
      <x:c r="Q112" s="22" t="n">
        <x:f>L112*O112</x:f>
        <x:v>11673.88</x:v>
      </x:c>
      <x:c r="R112" s="22" t="n">
        <x:f>P112-Q112</x:f>
        <x:v>2607.4460000000017</x:v>
      </x:c>
      <x:c r="S112" t="str">
        <x:v>Debit Card</x:v>
      </x:c>
      <x:c r="T112" t="str">
        <x:v>Consumer</x:v>
      </x:c>
      <x:c r="U112" t="str">
        <x:v>Mobile App</x:v>
      </x:c>
    </x:row>
    <x:row r="113">
      <x:c r="A113" t="str">
        <x:v>ORD0112</x:v>
      </x:c>
      <x:c r="B113" s="20" t="n">
        <x:v>45685</x:v>
      </x:c>
      <x:c r="C113" t="str">
        <x:v>Aarav Singh</x:v>
      </x:c>
      <x:c r="D113" t="str">
        <x:v>Female</x:v>
      </x:c>
      <x:c r="E113" t="str">
        <x:v>36-45</x:v>
      </x:c>
      <x:c r="F113" t="str">
        <x:v>Bengaluru</x:v>
      </x:c>
      <x:c r="G113" t="str">
        <x:v>Karnataka</x:v>
      </x:c>
      <x:c r="H113" t="str">
        <x:v>South</x:v>
      </x:c>
      <x:c r="I113" t="str">
        <x:v>Beauty</x:v>
      </x:c>
      <x:c r="J113" t="str">
        <x:v>Makeup</x:v>
      </x:c>
      <x:c r="K113" t="str">
        <x:v>Makeup Kit</x:v>
      </x:c>
      <x:c r="L113" t="n">
        <x:v>1</x:v>
      </x:c>
      <x:c r="M113" s="22" t="n">
        <x:v>2939.5</x:v>
      </x:c>
      <x:c r="N113" s="24" t="n">
        <x:v>0.05</x:v>
      </x:c>
      <x:c r="O113" s="22" t="n">
        <x:v>1734.06</x:v>
      </x:c>
      <x:c r="P113" s="22" t="n">
        <x:f>L113*M113*(1-N113)</x:f>
        <x:v>2792.525</x:v>
      </x:c>
      <x:c r="Q113" s="22" t="n">
        <x:f>L113*O113</x:f>
        <x:v>1734.06</x:v>
      </x:c>
      <x:c r="R113" s="22" t="n">
        <x:f>P113-Q113</x:f>
        <x:v>1058.4650000000001</x:v>
      </x:c>
      <x:c r="S113" t="str">
        <x:v>Credit Card</x:v>
      </x:c>
      <x:c r="T113" t="str">
        <x:v>Consumer</x:v>
      </x:c>
      <x:c r="U113" t="str">
        <x:v>Online</x:v>
      </x:c>
    </x:row>
    <x:row r="114">
      <x:c r="A114" t="str">
        <x:v>ORD0113</x:v>
      </x:c>
      <x:c r="B114" s="20" t="n">
        <x:v>45804</x:v>
      </x:c>
      <x:c r="C114" t="str">
        <x:v>Aarav Reddy</x:v>
      </x:c>
      <x:c r="D114" t="str">
        <x:v>Female</x:v>
      </x:c>
      <x:c r="E114" t="str">
        <x:v>36-45</x:v>
      </x:c>
      <x:c r="F114" t="str">
        <x:v>Jaipur</x:v>
      </x:c>
      <x:c r="G114" t="str">
        <x:v>Rajasthan</x:v>
      </x:c>
      <x:c r="H114" t="str">
        <x:v>North</x:v>
      </x:c>
      <x:c r="I114" t="str">
        <x:v>Beauty</x:v>
      </x:c>
      <x:c r="J114" t="str">
        <x:v>Makeup</x:v>
      </x:c>
      <x:c r="K114" t="str">
        <x:v>Makeup Kit</x:v>
      </x:c>
      <x:c r="L114" t="n">
        <x:v>4</x:v>
      </x:c>
      <x:c r="M114" s="22" t="n">
        <x:v>3158.93</x:v>
      </x:c>
      <x:c r="N114" s="24" t="n">
        <x:v>0.1</x:v>
      </x:c>
      <x:c r="O114" s="22" t="n">
        <x:v>1786.24</x:v>
      </x:c>
      <x:c r="P114" s="22" t="n">
        <x:f>L114*M114*(1-N114)</x:f>
        <x:v>11372.148</x:v>
      </x:c>
      <x:c r="Q114" s="22" t="n">
        <x:f>L114*O114</x:f>
        <x:v>7144.96</x:v>
      </x:c>
      <x:c r="R114" s="22" t="n">
        <x:f>P114-Q114</x:f>
        <x:v>4227.187999999999</x:v>
      </x:c>
      <x:c r="S114" t="str">
        <x:v>Credit Card</x:v>
      </x:c>
      <x:c r="T114" t="str">
        <x:v>Consumer</x:v>
      </x:c>
      <x:c r="U114" t="str">
        <x:v>Retail Store</x:v>
      </x:c>
    </x:row>
    <x:row r="115">
      <x:c r="A115" t="str">
        <x:v>ORD0114</x:v>
      </x:c>
      <x:c r="B115" s="20" t="n">
        <x:v>45969</x:v>
      </x:c>
      <x:c r="C115" t="str">
        <x:v>Sree Das</x:v>
      </x:c>
      <x:c r="D115" t="str">
        <x:v>Male</x:v>
      </x:c>
      <x:c r="E115" t="str">
        <x:v>18-25</x:v>
      </x:c>
      <x:c r="F115" t="str">
        <x:v>Bengaluru</x:v>
      </x:c>
      <x:c r="G115" t="str">
        <x:v>Karnataka</x:v>
      </x:c>
      <x:c r="H115" t="str">
        <x:v>South</x:v>
      </x:c>
      <x:c r="I115" t="str">
        <x:v>Beauty</x:v>
      </x:c>
      <x:c r="J115" t="str">
        <x:v>Skincare</x:v>
      </x:c>
      <x:c r="K115" t="str">
        <x:v>Face Serum</x:v>
      </x:c>
      <x:c r="L115" t="n">
        <x:v>1</x:v>
      </x:c>
      <x:c r="M115" s="22" t="n">
        <x:v>1148.61</x:v>
      </x:c>
      <x:c r="N115" s="24" t="n">
        <x:v>0</x:v>
      </x:c>
      <x:c r="O115" s="22" t="n">
        <x:v>587.41</x:v>
      </x:c>
      <x:c r="P115" s="22" t="n">
        <x:f>L115*M115*(1-N115)</x:f>
        <x:v>1148.61</x:v>
      </x:c>
      <x:c r="Q115" s="22" t="n">
        <x:f>L115*O115</x:f>
        <x:v>587.41</x:v>
      </x:c>
      <x:c r="R115" s="22" t="n">
        <x:f>P115-Q115</x:f>
        <x:v>561.1999999999999</x:v>
      </x:c>
      <x:c r="S115" t="str">
        <x:v>UPI</x:v>
      </x:c>
      <x:c r="T115" t="str">
        <x:v>Corporate</x:v>
      </x:c>
      <x:c r="U115" t="str">
        <x:v>Retail Store</x:v>
      </x:c>
    </x:row>
    <x:row r="116">
      <x:c r="A116" t="str">
        <x:v>ORD0115</x:v>
      </x:c>
      <x:c r="B116" s="20" t="n">
        <x:v>45932</x:v>
      </x:c>
      <x:c r="C116" t="str">
        <x:v>Rohit Das</x:v>
      </x:c>
      <x:c r="D116" t="str">
        <x:v>Male</x:v>
      </x:c>
      <x:c r="E116" t="str">
        <x:v>26-35</x:v>
      </x:c>
      <x:c r="F116" t="str">
        <x:v>Mumbai</x:v>
      </x:c>
      <x:c r="G116" t="str">
        <x:v>Maharashtra</x:v>
      </x:c>
      <x:c r="H116" t="str">
        <x:v>West</x:v>
      </x:c>
      <x:c r="I116" t="str">
        <x:v>Electronics</x:v>
      </x:c>
      <x:c r="J116" t="str">
        <x:v>Smartphone</x:v>
      </x:c>
      <x:c r="K116" t="str">
        <x:v>Nova X</x:v>
      </x:c>
      <x:c r="L116" t="n">
        <x:v>1</x:v>
      </x:c>
      <x:c r="M116" s="22" t="n">
        <x:v>33118.95</x:v>
      </x:c>
      <x:c r="N116" s="24" t="n">
        <x:v>0.15</x:v>
      </x:c>
      <x:c r="O116" s="22" t="n">
        <x:v>24090.89</x:v>
      </x:c>
      <x:c r="P116" s="22" t="n">
        <x:f>L116*M116*(1-N116)</x:f>
        <x:v>28151.1075</x:v>
      </x:c>
      <x:c r="Q116" s="22" t="n">
        <x:f>L116*O116</x:f>
        <x:v>24090.89</x:v>
      </x:c>
      <x:c r="R116" s="22" t="n">
        <x:f>P116-Q116</x:f>
        <x:v>4060.217499999999</x:v>
      </x:c>
      <x:c r="S116" t="str">
        <x:v>UPI</x:v>
      </x:c>
      <x:c r="T116" t="str">
        <x:v>Home Office</x:v>
      </x:c>
      <x:c r="U116" t="str">
        <x:v>Mobile App</x:v>
      </x:c>
    </x:row>
    <x:row r="117">
      <x:c r="A117" t="str">
        <x:v>ORD0116</x:v>
      </x:c>
      <x:c r="B117" s="20" t="n">
        <x:v>45692</x:v>
      </x:c>
      <x:c r="C117" t="str">
        <x:v>Aarav Singh</x:v>
      </x:c>
      <x:c r="D117" t="str">
        <x:v>Female</x:v>
      </x:c>
      <x:c r="E117" t="str">
        <x:v>36-45</x:v>
      </x:c>
      <x:c r="F117" t="str">
        <x:v>Chennai</x:v>
      </x:c>
      <x:c r="G117" t="str">
        <x:v>Tamil Nadu</x:v>
      </x:c>
      <x:c r="H117" t="str">
        <x:v>South</x:v>
      </x:c>
      <x:c r="I117" t="str">
        <x:v>Electronics</x:v>
      </x:c>
      <x:c r="J117" t="str">
        <x:v>Smartwatch</x:v>
      </x:c>
      <x:c r="K117" t="str">
        <x:v>FitTime S2</x:v>
      </x:c>
      <x:c r="L117" t="n">
        <x:v>4</x:v>
      </x:c>
      <x:c r="M117" s="22" t="n">
        <x:v>8477.86</x:v>
      </x:c>
      <x:c r="N117" s="24" t="n">
        <x:v>0.05</x:v>
      </x:c>
      <x:c r="O117" s="22" t="n">
        <x:v>5395.5</x:v>
      </x:c>
      <x:c r="P117" s="22" t="n">
        <x:f>L117*M117*(1-N117)</x:f>
        <x:v>32215.868000000002</x:v>
      </x:c>
      <x:c r="Q117" s="22" t="n">
        <x:f>L117*O117</x:f>
        <x:v>21582</x:v>
      </x:c>
      <x:c r="R117" s="22" t="n">
        <x:f>P117-Q117</x:f>
        <x:v>10633.868000000002</x:v>
      </x:c>
      <x:c r="S117" t="str">
        <x:v>Credit Card</x:v>
      </x:c>
      <x:c r="T117" t="str">
        <x:v>Home Office</x:v>
      </x:c>
      <x:c r="U117" t="str">
        <x:v>Retail Store</x:v>
      </x:c>
    </x:row>
    <x:row r="118">
      <x:c r="A118" t="str">
        <x:v>ORD0117</x:v>
      </x:c>
      <x:c r="B118" s="20" t="n">
        <x:v>45979</x:v>
      </x:c>
      <x:c r="C118" t="str">
        <x:v>Pooja Verma</x:v>
      </x:c>
      <x:c r="D118" t="str">
        <x:v>Female</x:v>
      </x:c>
      <x:c r="E118" t="str">
        <x:v>26-35</x:v>
      </x:c>
      <x:c r="F118" t="str">
        <x:v>Visakhapatnam</x:v>
      </x:c>
      <x:c r="G118" t="str">
        <x:v>Andhra Pradesh</x:v>
      </x:c>
      <x:c r="H118" t="str">
        <x:v>South</x:v>
      </x:c>
      <x:c r="I118" t="str">
        <x:v>Electronics</x:v>
      </x:c>
      <x:c r="J118" t="str">
        <x:v>Headphones</x:v>
      </x:c>
      <x:c r="K118" t="str">
        <x:v>SoundMax Pro</x:v>
      </x:c>
      <x:c r="L118" t="n">
        <x:v>3</x:v>
      </x:c>
      <x:c r="M118" s="22" t="n">
        <x:v>4236.05</x:v>
      </x:c>
      <x:c r="N118" s="24" t="n">
        <x:v>0.2</x:v>
      </x:c>
      <x:c r="O118" s="22" t="n">
        <x:v>2964.55</x:v>
      </x:c>
      <x:c r="P118" s="22" t="n">
        <x:f>L118*M118*(1-N118)</x:f>
        <x:v>10166.520000000002</x:v>
      </x:c>
      <x:c r="Q118" s="22" t="n">
        <x:f>L118*O118</x:f>
        <x:v>8893.650000000001</x:v>
      </x:c>
      <x:c r="R118" s="22" t="n">
        <x:f>P118-Q118</x:f>
        <x:v>1272.8700000000008</x:v>
      </x:c>
      <x:c r="S118" t="str">
        <x:v>UPI</x:v>
      </x:c>
      <x:c r="T118" t="str">
        <x:v>Home Office</x:v>
      </x:c>
      <x:c r="U118" t="str">
        <x:v>Mobile App</x:v>
      </x:c>
    </x:row>
    <x:row r="119">
      <x:c r="A119" t="str">
        <x:v>ORD0118</x:v>
      </x:c>
      <x:c r="B119" s="20" t="n">
        <x:v>45676</x:v>
      </x:c>
      <x:c r="C119" t="str">
        <x:v>Meena Naidu</x:v>
      </x:c>
      <x:c r="D119" t="str">
        <x:v>Male</x:v>
      </x:c>
      <x:c r="E119" t="str">
        <x:v>36-45</x:v>
      </x:c>
      <x:c r="F119" t="str">
        <x:v>Chennai</x:v>
      </x:c>
      <x:c r="G119" t="str">
        <x:v>Tamil Nadu</x:v>
      </x:c>
      <x:c r="H119" t="str">
        <x:v>South</x:v>
      </x:c>
      <x:c r="I119" t="str">
        <x:v>Fashion</x:v>
      </x:c>
      <x:c r="J119" t="str">
        <x:v>Women</x:v>
      </x:c>
      <x:c r="K119" t="str">
        <x:v>Kurti</x:v>
      </x:c>
      <x:c r="L119" t="n">
        <x:v>1</x:v>
      </x:c>
      <x:c r="M119" s="22" t="n">
        <x:v>1668.62</x:v>
      </x:c>
      <x:c r="N119" s="24" t="n">
        <x:v>0.05</x:v>
      </x:c>
      <x:c r="O119" s="22" t="n">
        <x:v>975.96</x:v>
      </x:c>
      <x:c r="P119" s="22" t="n">
        <x:f>L119*M119*(1-N119)</x:f>
        <x:v>1585.1889999999999</x:v>
      </x:c>
      <x:c r="Q119" s="22" t="n">
        <x:f>L119*O119</x:f>
        <x:v>975.96</x:v>
      </x:c>
      <x:c r="R119" s="22" t="n">
        <x:f>P119-Q119</x:f>
        <x:v>609.2289999999998</x:v>
      </x:c>
      <x:c r="S119" t="str">
        <x:v>UPI</x:v>
      </x:c>
      <x:c r="T119" t="str">
        <x:v>Home Office</x:v>
      </x:c>
      <x:c r="U119" t="str">
        <x:v>Online</x:v>
      </x:c>
    </x:row>
    <x:row r="120">
      <x:c r="A120" t="str">
        <x:v>ORD0119</x:v>
      </x:c>
      <x:c r="B120" s="20" t="n">
        <x:v>45804</x:v>
      </x:c>
      <x:c r="C120" t="str">
        <x:v>Divya Verma</x:v>
      </x:c>
      <x:c r="D120" t="str">
        <x:v>Male</x:v>
      </x:c>
      <x:c r="E120" t="str">
        <x:v>36-45</x:v>
      </x:c>
      <x:c r="F120" t="str">
        <x:v>Pune</x:v>
      </x:c>
      <x:c r="G120" t="str">
        <x:v>Maharashtra</x:v>
      </x:c>
      <x:c r="H120" t="str">
        <x:v>West</x:v>
      </x:c>
      <x:c r="I120" t="str">
        <x:v>Fashion</x:v>
      </x:c>
      <x:c r="J120" t="str">
        <x:v>Men</x:v>
      </x:c>
      <x:c r="K120" t="str">
        <x:v>Casual Shirt</x:v>
      </x:c>
      <x:c r="L120" t="n">
        <x:v>1</x:v>
      </x:c>
      <x:c r="M120" s="22" t="n">
        <x:v>1693.64</x:v>
      </x:c>
      <x:c r="N120" s="24" t="n">
        <x:v>0.05</x:v>
      </x:c>
      <x:c r="O120" s="22" t="n">
        <x:v>887.9</x:v>
      </x:c>
      <x:c r="P120" s="22" t="n">
        <x:f>L120*M120*(1-N120)</x:f>
        <x:v>1608.958</x:v>
      </x:c>
      <x:c r="Q120" s="22" t="n">
        <x:f>L120*O120</x:f>
        <x:v>887.9</x:v>
      </x:c>
      <x:c r="R120" s="22" t="n">
        <x:f>P120-Q120</x:f>
        <x:v>721.0580000000001</x:v>
      </x:c>
      <x:c r="S120" t="str">
        <x:v>Credit Card</x:v>
      </x:c>
      <x:c r="T120" t="str">
        <x:v>Corporate</x:v>
      </x:c>
      <x:c r="U120" t="str">
        <x:v>Retail Store</x:v>
      </x:c>
    </x:row>
    <x:row r="121">
      <x:c r="A121" t="str">
        <x:v>ORD0120</x:v>
      </x:c>
      <x:c r="B121" s="20" t="n">
        <x:v>45912</x:v>
      </x:c>
      <x:c r="C121" t="str">
        <x:v>Rahul Gupta</x:v>
      </x:c>
      <x:c r="D121" t="str">
        <x:v>Male</x:v>
      </x:c>
      <x:c r="E121" t="str">
        <x:v>36-45</x:v>
      </x:c>
      <x:c r="F121" t="str">
        <x:v>Jaipur</x:v>
      </x:c>
      <x:c r="G121" t="str">
        <x:v>Rajasthan</x:v>
      </x:c>
      <x:c r="H121" t="str">
        <x:v>North</x:v>
      </x:c>
      <x:c r="I121" t="str">
        <x:v>Fashion</x:v>
      </x:c>
      <x:c r="J121" t="str">
        <x:v>Footwear</x:v>
      </x:c>
      <x:c r="K121" t="str">
        <x:v>Running Shoes</x:v>
      </x:c>
      <x:c r="L121" t="n">
        <x:v>1</x:v>
      </x:c>
      <x:c r="M121" s="22" t="n">
        <x:v>3668.64</x:v>
      </x:c>
      <x:c r="N121" s="24" t="n">
        <x:v>0.1</x:v>
      </x:c>
      <x:c r="O121" s="22" t="n">
        <x:v>2239.97</x:v>
      </x:c>
      <x:c r="P121" s="22" t="n">
        <x:f>L121*M121*(1-N121)</x:f>
        <x:v>3301.776</x:v>
      </x:c>
      <x:c r="Q121" s="22" t="n">
        <x:f>L121*O121</x:f>
        <x:v>2239.97</x:v>
      </x:c>
      <x:c r="R121" s="22" t="n">
        <x:f>P121-Q121</x:f>
        <x:v>1061.806</x:v>
      </x:c>
      <x:c r="S121" t="str">
        <x:v>UPI</x:v>
      </x:c>
      <x:c r="T121" t="str">
        <x:v>Consumer</x:v>
      </x:c>
      <x:c r="U121" t="str">
        <x:v>Mobile App</x:v>
      </x:c>
    </x:row>
    <x:row r="122">
      <x:c r="A122" t="str">
        <x:v>ORD0121</x:v>
      </x:c>
      <x:c r="B122" s="20" t="n">
        <x:v>45996</x:v>
      </x:c>
      <x:c r="C122" t="str">
        <x:v>Kavya Verma</x:v>
      </x:c>
      <x:c r="D122" t="str">
        <x:v>Female</x:v>
      </x:c>
      <x:c r="E122" t="str">
        <x:v>36-45</x:v>
      </x:c>
      <x:c r="F122" t="str">
        <x:v>Ahmedabad</x:v>
      </x:c>
      <x:c r="G122" t="str">
        <x:v>Gujarat</x:v>
      </x:c>
      <x:c r="H122" t="str">
        <x:v>West</x:v>
      </x:c>
      <x:c r="I122" t="str">
        <x:v>Fashion</x:v>
      </x:c>
      <x:c r="J122" t="str">
        <x:v>Footwear</x:v>
      </x:c>
      <x:c r="K122" t="str">
        <x:v>Running Shoes</x:v>
      </x:c>
      <x:c r="L122" t="n">
        <x:v>2</x:v>
      </x:c>
      <x:c r="M122" s="22" t="n">
        <x:v>3469.71</x:v>
      </x:c>
      <x:c r="N122" s="24" t="n">
        <x:v>0.2</x:v>
      </x:c>
      <x:c r="O122" s="22" t="n">
        <x:v>2238.31</x:v>
      </x:c>
      <x:c r="P122" s="22" t="n">
        <x:f>L122*M122*(1-N122)</x:f>
        <x:v>5551.536</x:v>
      </x:c>
      <x:c r="Q122" s="22" t="n">
        <x:f>L122*O122</x:f>
        <x:v>4476.62</x:v>
      </x:c>
      <x:c r="R122" s="22" t="n">
        <x:f>P122-Q122</x:f>
        <x:v>1074.9160000000002</x:v>
      </x:c>
      <x:c r="S122" t="str">
        <x:v>Net Banking</x:v>
      </x:c>
      <x:c r="T122" t="str">
        <x:v>Corporate</x:v>
      </x:c>
      <x:c r="U122" t="str">
        <x:v>Mobile App</x:v>
      </x:c>
    </x:row>
    <x:row r="123">
      <x:c r="A123" t="str">
        <x:v>ORD0122</x:v>
      </x:c>
      <x:c r="B123" s="20" t="n">
        <x:v>45985</x:v>
      </x:c>
      <x:c r="C123" t="str">
        <x:v>Rahul Sharma</x:v>
      </x:c>
      <x:c r="D123" t="str">
        <x:v>Female</x:v>
      </x:c>
      <x:c r="E123" t="str">
        <x:v>46-60</x:v>
      </x:c>
      <x:c r="F123" t="str">
        <x:v>Lucknow</x:v>
      </x:c>
      <x:c r="G123" t="str">
        <x:v>Uttar Pradesh</x:v>
      </x:c>
      <x:c r="H123" t="str">
        <x:v>North</x:v>
      </x:c>
      <x:c r="I123" t="str">
        <x:v>Electronics</x:v>
      </x:c>
      <x:c r="J123" t="str">
        <x:v>Laptop</x:v>
      </x:c>
      <x:c r="K123" t="str">
        <x:v>AeroBook 14</x:v>
      </x:c>
      <x:c r="L123" t="n">
        <x:v>5</x:v>
      </x:c>
      <x:c r="M123" s="22" t="n">
        <x:v>63698.14</x:v>
      </x:c>
      <x:c r="N123" s="24" t="n">
        <x:v>0.2</x:v>
      </x:c>
      <x:c r="O123" s="22" t="n">
        <x:v>49624.84</x:v>
      </x:c>
      <x:c r="P123" s="22" t="n">
        <x:f>L123*M123*(1-N123)</x:f>
        <x:v>254792.56000000003</x:v>
      </x:c>
      <x:c r="Q123" s="22" t="n">
        <x:f>L123*O123</x:f>
        <x:v>248124.19999999998</x:v>
      </x:c>
      <x:c r="R123" s="22" t="n">
        <x:f>P123-Q123</x:f>
        <x:v>6668.360000000044</x:v>
      </x:c>
      <x:c r="S123" t="str">
        <x:v>UPI</x:v>
      </x:c>
      <x:c r="T123" t="str">
        <x:v>Consumer</x:v>
      </x:c>
      <x:c r="U123" t="str">
        <x:v>Online</x:v>
      </x:c>
    </x:row>
    <x:row r="124">
      <x:c r="A124" t="str">
        <x:v>ORD0123</x:v>
      </x:c>
      <x:c r="B124" s="20" t="n">
        <x:v>45778</x:v>
      </x:c>
      <x:c r="C124" t="str">
        <x:v>Pooja Singh</x:v>
      </x:c>
      <x:c r="D124" t="str">
        <x:v>Male</x:v>
      </x:c>
      <x:c r="E124" t="str">
        <x:v>46-60</x:v>
      </x:c>
      <x:c r="F124" t="str">
        <x:v>Lucknow</x:v>
      </x:c>
      <x:c r="G124" t="str">
        <x:v>Uttar Pradesh</x:v>
      </x:c>
      <x:c r="H124" t="str">
        <x:v>North</x:v>
      </x:c>
      <x:c r="I124" t="str">
        <x:v>Fashion</x:v>
      </x:c>
      <x:c r="J124" t="str">
        <x:v>Footwear</x:v>
      </x:c>
      <x:c r="K124" t="str">
        <x:v>Running Shoes</x:v>
      </x:c>
      <x:c r="L124" t="n">
        <x:v>5</x:v>
      </x:c>
      <x:c r="M124" s="22" t="n">
        <x:v>3434.4</x:v>
      </x:c>
      <x:c r="N124" s="24" t="n">
        <x:v>0</x:v>
      </x:c>
      <x:c r="O124" s="22" t="n">
        <x:v>2211.84</x:v>
      </x:c>
      <x:c r="P124" s="22" t="n">
        <x:f>L124*M124*(1-N124)</x:f>
        <x:v>17172</x:v>
      </x:c>
      <x:c r="Q124" s="22" t="n">
        <x:f>L124*O124</x:f>
        <x:v>11059.2</x:v>
      </x:c>
      <x:c r="R124" s="22" t="n">
        <x:f>P124-Q124</x:f>
        <x:v>6112.799999999999</x:v>
      </x:c>
      <x:c r="S124" t="str">
        <x:v>UPI</x:v>
      </x:c>
      <x:c r="T124" t="str">
        <x:v>Home Office</x:v>
      </x:c>
      <x:c r="U124" t="str">
        <x:v>Online</x:v>
      </x:c>
    </x:row>
    <x:row r="125">
      <x:c r="A125" t="str">
        <x:v>ORD0124</x:v>
      </x:c>
      <x:c r="B125" s="20" t="n">
        <x:v>45929</x:v>
      </x:c>
      <x:c r="C125" t="str">
        <x:v>Rahul Verma</x:v>
      </x:c>
      <x:c r="D125" t="str">
        <x:v>Male</x:v>
      </x:c>
      <x:c r="E125" t="str">
        <x:v>18-25</x:v>
      </x:c>
      <x:c r="F125" t="str">
        <x:v>Kolkata</x:v>
      </x:c>
      <x:c r="G125" t="str">
        <x:v>West Bengal</x:v>
      </x:c>
      <x:c r="H125" t="str">
        <x:v>East</x:v>
      </x:c>
      <x:c r="I125" t="str">
        <x:v>Fashion</x:v>
      </x:c>
      <x:c r="J125" t="str">
        <x:v>Accessories</x:v>
      </x:c>
      <x:c r="K125" t="str">
        <x:v>Backpack</x:v>
      </x:c>
      <x:c r="L125" t="n">
        <x:v>1</x:v>
      </x:c>
      <x:c r="M125" s="22" t="n">
        <x:v>2134.66</x:v>
      </x:c>
      <x:c r="N125" s="24" t="n">
        <x:v>0</x:v>
      </x:c>
      <x:c r="O125" s="22" t="n">
        <x:v>1276.98</x:v>
      </x:c>
      <x:c r="P125" s="22" t="n">
        <x:f>L125*M125*(1-N125)</x:f>
        <x:v>2134.66</x:v>
      </x:c>
      <x:c r="Q125" s="22" t="n">
        <x:f>L125*O125</x:f>
        <x:v>1276.98</x:v>
      </x:c>
      <x:c r="R125" s="22" t="n">
        <x:f>P125-Q125</x:f>
        <x:v>857.6799999999998</x:v>
      </x:c>
      <x:c r="S125" t="str">
        <x:v>Debit Card</x:v>
      </x:c>
      <x:c r="T125" t="str">
        <x:v>Corporate</x:v>
      </x:c>
      <x:c r="U125" t="str">
        <x:v>Retail Store</x:v>
      </x:c>
    </x:row>
    <x:row r="126">
      <x:c r="A126" t="str">
        <x:v>ORD0125</x:v>
      </x:c>
      <x:c r="B126" s="20" t="n">
        <x:v>45886</x:v>
      </x:c>
      <x:c r="C126" t="str">
        <x:v>Aditya Verma</x:v>
      </x:c>
      <x:c r="D126" t="str">
        <x:v>Female</x:v>
      </x:c>
      <x:c r="E126" t="str">
        <x:v>46-60</x:v>
      </x:c>
      <x:c r="F126" t="str">
        <x:v>Visakhapatnam</x:v>
      </x:c>
      <x:c r="G126" t="str">
        <x:v>Andhra Pradesh</x:v>
      </x:c>
      <x:c r="H126" t="str">
        <x:v>South</x:v>
      </x:c>
      <x:c r="I126" t="str">
        <x:v>Home &amp; Furniture</x:v>
      </x:c>
      <x:c r="J126" t="str">
        <x:v>Appliances</x:v>
      </x:c>
      <x:c r="K126" t="str">
        <x:v>Mixer Grinder</x:v>
      </x:c>
      <x:c r="L126" t="n">
        <x:v>2</x:v>
      </x:c>
      <x:c r="M126" s="22" t="n">
        <x:v>4330.35</x:v>
      </x:c>
      <x:c r="N126" s="24" t="n">
        <x:v>0</x:v>
      </x:c>
      <x:c r="O126" s="22" t="n">
        <x:v>3015.68</x:v>
      </x:c>
      <x:c r="P126" s="22" t="n">
        <x:f>L126*M126*(1-N126)</x:f>
        <x:v>8660.7</x:v>
      </x:c>
      <x:c r="Q126" s="22" t="n">
        <x:f>L126*O126</x:f>
        <x:v>6031.36</x:v>
      </x:c>
      <x:c r="R126" s="22" t="n">
        <x:f>P126-Q126</x:f>
        <x:v>2629.340000000001</x:v>
      </x:c>
      <x:c r="S126" t="str">
        <x:v>UPI</x:v>
      </x:c>
      <x:c r="T126" t="str">
        <x:v>Home Office</x:v>
      </x:c>
      <x:c r="U126" t="str">
        <x:v>Mobile App</x:v>
      </x:c>
    </x:row>
    <x:row r="127">
      <x:c r="A127" t="str">
        <x:v>ORD0126</x:v>
      </x:c>
      <x:c r="B127" s="20" t="n">
        <x:v>45999</x:v>
      </x:c>
      <x:c r="C127" t="str">
        <x:v>Rahul Singh</x:v>
      </x:c>
      <x:c r="D127" t="str">
        <x:v>Female</x:v>
      </x:c>
      <x:c r="E127" t="str">
        <x:v>18-25</x:v>
      </x:c>
      <x:c r="F127" t="str">
        <x:v>Kolkata</x:v>
      </x:c>
      <x:c r="G127" t="str">
        <x:v>West Bengal</x:v>
      </x:c>
      <x:c r="H127" t="str">
        <x:v>East</x:v>
      </x:c>
      <x:c r="I127" t="str">
        <x:v>Fashion</x:v>
      </x:c>
      <x:c r="J127" t="str">
        <x:v>Men</x:v>
      </x:c>
      <x:c r="K127" t="str">
        <x:v>Casual Shirt</x:v>
      </x:c>
      <x:c r="L127" t="n">
        <x:v>3</x:v>
      </x:c>
      <x:c r="M127" s="22" t="n">
        <x:v>1612.8</x:v>
      </x:c>
      <x:c r="N127" s="24" t="n">
        <x:v>0</x:v>
      </x:c>
      <x:c r="O127" s="22" t="n">
        <x:v>884.91</x:v>
      </x:c>
      <x:c r="P127" s="22" t="n">
        <x:f>L127*M127*(1-N127)</x:f>
        <x:v>4838.4</x:v>
      </x:c>
      <x:c r="Q127" s="22" t="n">
        <x:f>L127*O127</x:f>
        <x:v>2654.73</x:v>
      </x:c>
      <x:c r="R127" s="22" t="n">
        <x:f>P127-Q127</x:f>
        <x:v>2183.6699999999996</x:v>
      </x:c>
      <x:c r="S127" t="str">
        <x:v>Credit Card</x:v>
      </x:c>
      <x:c r="T127" t="str">
        <x:v>Consumer</x:v>
      </x:c>
      <x:c r="U127" t="str">
        <x:v>Online</x:v>
      </x:c>
    </x:row>
    <x:row r="128">
      <x:c r="A128" t="str">
        <x:v>ORD0127</x:v>
      </x:c>
      <x:c r="B128" s="20" t="n">
        <x:v>45910</x:v>
      </x:c>
      <x:c r="C128" t="str">
        <x:v>Aditya Reddy</x:v>
      </x:c>
      <x:c r="D128" t="str">
        <x:v>Male</x:v>
      </x:c>
      <x:c r="E128" t="str">
        <x:v>46-60</x:v>
      </x:c>
      <x:c r="F128" t="str">
        <x:v>Jaipur</x:v>
      </x:c>
      <x:c r="G128" t="str">
        <x:v>Rajasthan</x:v>
      </x:c>
      <x:c r="H128" t="str">
        <x:v>North</x:v>
      </x:c>
      <x:c r="I128" t="str">
        <x:v>Electronics</x:v>
      </x:c>
      <x:c r="J128" t="str">
        <x:v>Headphones</x:v>
      </x:c>
      <x:c r="K128" t="str">
        <x:v>SoundMax Pro</x:v>
      </x:c>
      <x:c r="L128" t="n">
        <x:v>5</x:v>
      </x:c>
      <x:c r="M128" s="22" t="n">
        <x:v>4538.9</x:v>
      </x:c>
      <x:c r="N128" s="24" t="n">
        <x:v>0</x:v>
      </x:c>
      <x:c r="O128" s="22" t="n">
        <x:v>2968.54</x:v>
      </x:c>
      <x:c r="P128" s="22" t="n">
        <x:f>L128*M128*(1-N128)</x:f>
        <x:v>22694.5</x:v>
      </x:c>
      <x:c r="Q128" s="22" t="n">
        <x:f>L128*O128</x:f>
        <x:v>14842.7</x:v>
      </x:c>
      <x:c r="R128" s="22" t="n">
        <x:f>P128-Q128</x:f>
        <x:v>7851.799999999999</x:v>
      </x:c>
      <x:c r="S128" t="str">
        <x:v>Cash on Delivery</x:v>
      </x:c>
      <x:c r="T128" t="str">
        <x:v>Home Office</x:v>
      </x:c>
      <x:c r="U128" t="str">
        <x:v>Mobile App</x:v>
      </x:c>
    </x:row>
    <x:row r="129">
      <x:c r="A129" t="str">
        <x:v>ORD0128</x:v>
      </x:c>
      <x:c r="B129" s="20" t="n">
        <x:v>45867</x:v>
      </x:c>
      <x:c r="C129" t="str">
        <x:v>Meena Singh</x:v>
      </x:c>
      <x:c r="D129" t="str">
        <x:v>Female</x:v>
      </x:c>
      <x:c r="E129" t="str">
        <x:v>26-35</x:v>
      </x:c>
      <x:c r="F129" t="str">
        <x:v>Lucknow</x:v>
      </x:c>
      <x:c r="G129" t="str">
        <x:v>Uttar Pradesh</x:v>
      </x:c>
      <x:c r="H129" t="str">
        <x:v>North</x:v>
      </x:c>
      <x:c r="I129" t="str">
        <x:v>Electronics</x:v>
      </x:c>
      <x:c r="J129" t="str">
        <x:v>Smartphone</x:v>
      </x:c>
      <x:c r="K129" t="str">
        <x:v>Nova X</x:v>
      </x:c>
      <x:c r="L129" t="n">
        <x:v>4</x:v>
      </x:c>
      <x:c r="M129" s="22" t="n">
        <x:v>34418.58</x:v>
      </x:c>
      <x:c r="N129" s="24" t="n">
        <x:v>0.1</x:v>
      </x:c>
      <x:c r="O129" s="22" t="n">
        <x:v>24778.98</x:v>
      </x:c>
      <x:c r="P129" s="22" t="n">
        <x:f>L129*M129*(1-N129)</x:f>
        <x:v>123906.888</x:v>
      </x:c>
      <x:c r="Q129" s="22" t="n">
        <x:f>L129*O129</x:f>
        <x:v>99115.92</x:v>
      </x:c>
      <x:c r="R129" s="22" t="n">
        <x:f>P129-Q129</x:f>
        <x:v>24790.968000000008</x:v>
      </x:c>
      <x:c r="S129" t="str">
        <x:v>Credit Card</x:v>
      </x:c>
      <x:c r="T129" t="str">
        <x:v>Corporate</x:v>
      </x:c>
      <x:c r="U129" t="str">
        <x:v>Retail Store</x:v>
      </x:c>
    </x:row>
    <x:row r="130">
      <x:c r="A130" t="str">
        <x:v>ORD0129</x:v>
      </x:c>
      <x:c r="B130" s="20" t="n">
        <x:v>45686</x:v>
      </x:c>
      <x:c r="C130" t="str">
        <x:v>Ananya Reddy</x:v>
      </x:c>
      <x:c r="D130" t="str">
        <x:v>Male</x:v>
      </x:c>
      <x:c r="E130" t="str">
        <x:v>26-35</x:v>
      </x:c>
      <x:c r="F130" t="str">
        <x:v>Delhi</x:v>
      </x:c>
      <x:c r="G130" t="str">
        <x:v>Delhi</x:v>
      </x:c>
      <x:c r="H130" t="str">
        <x:v>North</x:v>
      </x:c>
      <x:c r="I130" t="str">
        <x:v>Electronics</x:v>
      </x:c>
      <x:c r="J130" t="str">
        <x:v>Smartphone</x:v>
      </x:c>
      <x:c r="K130" t="str">
        <x:v>Nova X</x:v>
      </x:c>
      <x:c r="L130" t="n">
        <x:v>2</x:v>
      </x:c>
      <x:c r="M130" s="22" t="n">
        <x:v>30997.12</x:v>
      </x:c>
      <x:c r="N130" s="24" t="n">
        <x:v>0.05</x:v>
      </x:c>
      <x:c r="O130" s="22" t="n">
        <x:v>23837.46</x:v>
      </x:c>
      <x:c r="P130" s="22" t="n">
        <x:f>L130*M130*(1-N130)</x:f>
        <x:v>58894.528</x:v>
      </x:c>
      <x:c r="Q130" s="22" t="n">
        <x:f>L130*O130</x:f>
        <x:v>47674.92</x:v>
      </x:c>
      <x:c r="R130" s="22" t="n">
        <x:f>P130-Q130</x:f>
        <x:v>11219.608</x:v>
      </x:c>
      <x:c r="S130" t="str">
        <x:v>Net Banking</x:v>
      </x:c>
      <x:c r="T130" t="str">
        <x:v>Corporate</x:v>
      </x:c>
      <x:c r="U130" t="str">
        <x:v>Online</x:v>
      </x:c>
    </x:row>
    <x:row r="131">
      <x:c r="A131" t="str">
        <x:v>ORD0130</x:v>
      </x:c>
      <x:c r="B131" s="20" t="n">
        <x:v>45978</x:v>
      </x:c>
      <x:c r="C131" t="str">
        <x:v>Harsha Das</x:v>
      </x:c>
      <x:c r="D131" t="str">
        <x:v>Male</x:v>
      </x:c>
      <x:c r="E131" t="str">
        <x:v>18-25</x:v>
      </x:c>
      <x:c r="F131" t="str">
        <x:v>Visakhapatnam</x:v>
      </x:c>
      <x:c r="G131" t="str">
        <x:v>Andhra Pradesh</x:v>
      </x:c>
      <x:c r="H131" t="str">
        <x:v>South</x:v>
      </x:c>
      <x:c r="I131" t="str">
        <x:v>Fashion</x:v>
      </x:c>
      <x:c r="J131" t="str">
        <x:v>Men</x:v>
      </x:c>
      <x:c r="K131" t="str">
        <x:v>Casual Shirt</x:v>
      </x:c>
      <x:c r="L131" t="n">
        <x:v>5</x:v>
      </x:c>
      <x:c r="M131" s="22" t="n">
        <x:v>1600.66</x:v>
      </x:c>
      <x:c r="N131" s="24" t="n">
        <x:v>0</x:v>
      </x:c>
      <x:c r="O131" s="22" t="n">
        <x:v>876.14</x:v>
      </x:c>
      <x:c r="P131" s="22" t="n">
        <x:f>L131*M131*(1-N131)</x:f>
        <x:v>8003.3</x:v>
      </x:c>
      <x:c r="Q131" s="22" t="n">
        <x:f>L131*O131</x:f>
        <x:v>4380.7</x:v>
      </x:c>
      <x:c r="R131" s="22" t="n">
        <x:f>P131-Q131</x:f>
        <x:v>3622.6000000000004</x:v>
      </x:c>
      <x:c r="S131" t="str">
        <x:v>UPI</x:v>
      </x:c>
      <x:c r="T131" t="str">
        <x:v>Consumer</x:v>
      </x:c>
      <x:c r="U131" t="str">
        <x:v>Online</x:v>
      </x:c>
    </x:row>
    <x:row r="132">
      <x:c r="A132" t="str">
        <x:v>ORD0131</x:v>
      </x:c>
      <x:c r="B132" s="20" t="n">
        <x:v>45986</x:v>
      </x:c>
      <x:c r="C132" t="str">
        <x:v>Ravi Kumar</x:v>
      </x:c>
      <x:c r="D132" t="str">
        <x:v>Male</x:v>
      </x:c>
      <x:c r="E132" t="str">
        <x:v>46-60</x:v>
      </x:c>
      <x:c r="F132" t="str">
        <x:v>Lucknow</x:v>
      </x:c>
      <x:c r="G132" t="str">
        <x:v>Uttar Pradesh</x:v>
      </x:c>
      <x:c r="H132" t="str">
        <x:v>North</x:v>
      </x:c>
      <x:c r="I132" t="str">
        <x:v>Fashion</x:v>
      </x:c>
      <x:c r="J132" t="str">
        <x:v>Women</x:v>
      </x:c>
      <x:c r="K132" t="str">
        <x:v>Kurti</x:v>
      </x:c>
      <x:c r="L132" t="n">
        <x:v>1</x:v>
      </x:c>
      <x:c r="M132" s="22" t="n">
        <x:v>1876.88</x:v>
      </x:c>
      <x:c r="N132" s="24" t="n">
        <x:v>0.1</x:v>
      </x:c>
      <x:c r="O132" s="22" t="n">
        <x:v>993.33</x:v>
      </x:c>
      <x:c r="P132" s="22" t="n">
        <x:f>L132*M132*(1-N132)</x:f>
        <x:v>1689.1920000000002</x:v>
      </x:c>
      <x:c r="Q132" s="22" t="n">
        <x:f>L132*O132</x:f>
        <x:v>993.33</x:v>
      </x:c>
      <x:c r="R132" s="22" t="n">
        <x:f>P132-Q132</x:f>
        <x:v>695.8620000000002</x:v>
      </x:c>
      <x:c r="S132" t="str">
        <x:v>Credit Card</x:v>
      </x:c>
      <x:c r="T132" t="str">
        <x:v>Home Office</x:v>
      </x:c>
      <x:c r="U132" t="str">
        <x:v>Mobile App</x:v>
      </x:c>
    </x:row>
    <x:row r="133">
      <x:c r="A133" t="str">
        <x:v>ORD0132</x:v>
      </x:c>
      <x:c r="B133" s="20" t="n">
        <x:v>45810</x:v>
      </x:c>
      <x:c r="C133" t="str">
        <x:v>Kiran Singh</x:v>
      </x:c>
      <x:c r="D133" t="str">
        <x:v>Female</x:v>
      </x:c>
      <x:c r="E133" t="str">
        <x:v>36-45</x:v>
      </x:c>
      <x:c r="F133" t="str">
        <x:v>Ahmedabad</x:v>
      </x:c>
      <x:c r="G133" t="str">
        <x:v>Gujarat</x:v>
      </x:c>
      <x:c r="H133" t="str">
        <x:v>West</x:v>
      </x:c>
      <x:c r="I133" t="str">
        <x:v>Beauty</x:v>
      </x:c>
      <x:c r="J133" t="str">
        <x:v>Skincare</x:v>
      </x:c>
      <x:c r="K133" t="str">
        <x:v>Face Serum</x:v>
      </x:c>
      <x:c r="L133" t="n">
        <x:v>4</x:v>
      </x:c>
      <x:c r="M133" s="22" t="n">
        <x:v>1133.2</x:v>
      </x:c>
      <x:c r="N133" s="24" t="n">
        <x:v>0.1</x:v>
      </x:c>
      <x:c r="O133" s="22" t="n">
        <x:v>583.59</x:v>
      </x:c>
      <x:c r="P133" s="22" t="n">
        <x:f>L133*M133*(1-N133)</x:f>
        <x:v>4079.5200000000004</x:v>
      </x:c>
      <x:c r="Q133" s="22" t="n">
        <x:f>L133*O133</x:f>
        <x:v>2334.36</x:v>
      </x:c>
      <x:c r="R133" s="22" t="n">
        <x:f>P133-Q133</x:f>
        <x:v>1745.1600000000003</x:v>
      </x:c>
      <x:c r="S133" t="str">
        <x:v>Debit Card</x:v>
      </x:c>
      <x:c r="T133" t="str">
        <x:v>Home Office</x:v>
      </x:c>
      <x:c r="U133" t="str">
        <x:v>Mobile App</x:v>
      </x:c>
    </x:row>
    <x:row r="134">
      <x:c r="A134" t="str">
        <x:v>ORD0133</x:v>
      </x:c>
      <x:c r="B134" s="20" t="n">
        <x:v>45862</x:v>
      </x:c>
      <x:c r="C134" t="str">
        <x:v>Neha Verma</x:v>
      </x:c>
      <x:c r="D134" t="str">
        <x:v>Female</x:v>
      </x:c>
      <x:c r="E134" t="str">
        <x:v>26-35</x:v>
      </x:c>
      <x:c r="F134" t="str">
        <x:v>Vijayawada</x:v>
      </x:c>
      <x:c r="G134" t="str">
        <x:v>Andhra Pradesh</x:v>
      </x:c>
      <x:c r="H134" t="str">
        <x:v>South</x:v>
      </x:c>
      <x:c r="I134" t="str">
        <x:v>Home &amp; Furniture</x:v>
      </x:c>
      <x:c r="J134" t="str">
        <x:v>Appliances</x:v>
      </x:c>
      <x:c r="K134" t="str">
        <x:v>Mixer Grinder</x:v>
      </x:c>
      <x:c r="L134" t="n">
        <x:v>2</x:v>
      </x:c>
      <x:c r="M134" s="22" t="n">
        <x:v>4210.07</x:v>
      </x:c>
      <x:c r="N134" s="24" t="n">
        <x:v>0.1</x:v>
      </x:c>
      <x:c r="O134" s="22" t="n">
        <x:v>2808.63</x:v>
      </x:c>
      <x:c r="P134" s="22" t="n">
        <x:f>L134*M134*(1-N134)</x:f>
        <x:v>7578.125999999999</x:v>
      </x:c>
      <x:c r="Q134" s="22" t="n">
        <x:f>L134*O134</x:f>
        <x:v>5617.26</x:v>
      </x:c>
      <x:c r="R134" s="22" t="n">
        <x:f>P134-Q134</x:f>
        <x:v>1960.865999999999</x:v>
      </x:c>
      <x:c r="S134" t="str">
        <x:v>UPI</x:v>
      </x:c>
      <x:c r="T134" t="str">
        <x:v>Consumer</x:v>
      </x:c>
      <x:c r="U134" t="str">
        <x:v>Mobile App</x:v>
      </x:c>
    </x:row>
    <x:row r="135">
      <x:c r="A135" t="str">
        <x:v>ORD0134</x:v>
      </x:c>
      <x:c r="B135" s="20" t="n">
        <x:v>45854</x:v>
      </x:c>
      <x:c r="C135" t="str">
        <x:v>Priya Patel</x:v>
      </x:c>
      <x:c r="D135" t="str">
        <x:v>Female</x:v>
      </x:c>
      <x:c r="E135" t="str">
        <x:v>46-60</x:v>
      </x:c>
      <x:c r="F135" t="str">
        <x:v>Kolkata</x:v>
      </x:c>
      <x:c r="G135" t="str">
        <x:v>West Bengal</x:v>
      </x:c>
      <x:c r="H135" t="str">
        <x:v>East</x:v>
      </x:c>
      <x:c r="I135" t="str">
        <x:v>Beauty</x:v>
      </x:c>
      <x:c r="J135" t="str">
        <x:v>Skincare</x:v>
      </x:c>
      <x:c r="K135" t="str">
        <x:v>Face Serum</x:v>
      </x:c>
      <x:c r="L135" t="n">
        <x:v>3</x:v>
      </x:c>
      <x:c r="M135" s="22" t="n">
        <x:v>1181.43</x:v>
      </x:c>
      <x:c r="N135" s="24" t="n">
        <x:v>0.15</x:v>
      </x:c>
      <x:c r="O135" s="22" t="n">
        <x:v>619.31</x:v>
      </x:c>
      <x:c r="P135" s="22" t="n">
        <x:f>L135*M135*(1-N135)</x:f>
        <x:v>3012.6465</x:v>
      </x:c>
      <x:c r="Q135" s="22" t="n">
        <x:f>L135*O135</x:f>
        <x:v>1857.9299999999998</x:v>
      </x:c>
      <x:c r="R135" s="22" t="n">
        <x:f>P135-Q135</x:f>
        <x:v>1154.7165</x:v>
      </x:c>
      <x:c r="S135" t="str">
        <x:v>Net Banking</x:v>
      </x:c>
      <x:c r="T135" t="str">
        <x:v>Corporate</x:v>
      </x:c>
      <x:c r="U135" t="str">
        <x:v>Mobile App</x:v>
      </x:c>
    </x:row>
    <x:row r="136">
      <x:c r="A136" t="str">
        <x:v>ORD0135</x:v>
      </x:c>
      <x:c r="B136" s="20" t="n">
        <x:v>45815</x:v>
      </x:c>
      <x:c r="C136" t="str">
        <x:v>Nikhil Singh</x:v>
      </x:c>
      <x:c r="D136" t="str">
        <x:v>Female</x:v>
      </x:c>
      <x:c r="E136" t="str">
        <x:v>18-25</x:v>
      </x:c>
      <x:c r="F136" t="str">
        <x:v>Bengaluru</x:v>
      </x:c>
      <x:c r="G136" t="str">
        <x:v>Karnataka</x:v>
      </x:c>
      <x:c r="H136" t="str">
        <x:v>South</x:v>
      </x:c>
      <x:c r="I136" t="str">
        <x:v>Beauty</x:v>
      </x:c>
      <x:c r="J136" t="str">
        <x:v>Skincare</x:v>
      </x:c>
      <x:c r="K136" t="str">
        <x:v>Face Serum</x:v>
      </x:c>
      <x:c r="L136" t="n">
        <x:v>4</x:v>
      </x:c>
      <x:c r="M136" s="22" t="n">
        <x:v>1027.85</x:v>
      </x:c>
      <x:c r="N136" s="24" t="n">
        <x:v>0</x:v>
      </x:c>
      <x:c r="O136" s="22" t="n">
        <x:v>594.88</x:v>
      </x:c>
      <x:c r="P136" s="22" t="n">
        <x:f>L136*M136*(1-N136)</x:f>
        <x:v>4111.4</x:v>
      </x:c>
      <x:c r="Q136" s="22" t="n">
        <x:f>L136*O136</x:f>
        <x:v>2379.52</x:v>
      </x:c>
      <x:c r="R136" s="22" t="n">
        <x:f>P136-Q136</x:f>
        <x:v>1731.8799999999997</x:v>
      </x:c>
      <x:c r="S136" t="str">
        <x:v>Debit Card</x:v>
      </x:c>
      <x:c r="T136" t="str">
        <x:v>Corporate</x:v>
      </x:c>
      <x:c r="U136" t="str">
        <x:v>Retail Store</x:v>
      </x:c>
    </x:row>
    <x:row r="137">
      <x:c r="A137" t="str">
        <x:v>ORD0136</x:v>
      </x:c>
      <x:c r="B137" s="20" t="n">
        <x:v>45992</x:v>
      </x:c>
      <x:c r="C137" t="str">
        <x:v>Kavya Naidu</x:v>
      </x:c>
      <x:c r="D137" t="str">
        <x:v>Male</x:v>
      </x:c>
      <x:c r="E137" t="str">
        <x:v>18-25</x:v>
      </x:c>
      <x:c r="F137" t="str">
        <x:v>Chennai</x:v>
      </x:c>
      <x:c r="G137" t="str">
        <x:v>Tamil Nadu</x:v>
      </x:c>
      <x:c r="H137" t="str">
        <x:v>South</x:v>
      </x:c>
      <x:c r="I137" t="str">
        <x:v>Beauty</x:v>
      </x:c>
      <x:c r="J137" t="str">
        <x:v>Haircare</x:v>
      </x:c>
      <x:c r="K137" t="str">
        <x:v>Hair Dryer</x:v>
      </x:c>
      <x:c r="L137" t="n">
        <x:v>4</x:v>
      </x:c>
      <x:c r="M137" s="22" t="n">
        <x:v>2414.09</x:v>
      </x:c>
      <x:c r="N137" s="24" t="n">
        <x:v>0</x:v>
      </x:c>
      <x:c r="O137" s="22" t="n">
        <x:v>1490.27</x:v>
      </x:c>
      <x:c r="P137" s="22" t="n">
        <x:f>L137*M137*(1-N137)</x:f>
        <x:v>9656.36</x:v>
      </x:c>
      <x:c r="Q137" s="22" t="n">
        <x:f>L137*O137</x:f>
        <x:v>5961.08</x:v>
      </x:c>
      <x:c r="R137" s="22" t="n">
        <x:f>P137-Q137</x:f>
        <x:v>3695.2800000000007</x:v>
      </x:c>
      <x:c r="S137" t="str">
        <x:v>Cash on Delivery</x:v>
      </x:c>
      <x:c r="T137" t="str">
        <x:v>Consumer</x:v>
      </x:c>
      <x:c r="U137" t="str">
        <x:v>Retail Store</x:v>
      </x:c>
    </x:row>
    <x:row r="138">
      <x:c r="A138" t="str">
        <x:v>ORD0137</x:v>
      </x:c>
      <x:c r="B138" s="20" t="n">
        <x:v>45945</x:v>
      </x:c>
      <x:c r="C138" t="str">
        <x:v>Ravi Kumar</x:v>
      </x:c>
      <x:c r="D138" t="str">
        <x:v>Female</x:v>
      </x:c>
      <x:c r="E138" t="str">
        <x:v>26-35</x:v>
      </x:c>
      <x:c r="F138" t="str">
        <x:v>Bhubaneswar</x:v>
      </x:c>
      <x:c r="G138" t="str">
        <x:v>Odisha</x:v>
      </x:c>
      <x:c r="H138" t="str">
        <x:v>East</x:v>
      </x:c>
      <x:c r="I138" t="str">
        <x:v>Home &amp; Furniture</x:v>
      </x:c>
      <x:c r="J138" t="str">
        <x:v>Appliances</x:v>
      </x:c>
      <x:c r="K138" t="str">
        <x:v>Mixer Grinder</x:v>
      </x:c>
      <x:c r="L138" t="n">
        <x:v>5</x:v>
      </x:c>
      <x:c r="M138" s="22" t="n">
        <x:v>4235.77</x:v>
      </x:c>
      <x:c r="N138" s="24" t="n">
        <x:v>0.1</x:v>
      </x:c>
      <x:c r="O138" s="22" t="n">
        <x:v>2801.06</x:v>
      </x:c>
      <x:c r="P138" s="22" t="n">
        <x:f>L138*M138*(1-N138)</x:f>
        <x:v>19060.965000000004</x:v>
      </x:c>
      <x:c r="Q138" s="22" t="n">
        <x:f>L138*O138</x:f>
        <x:v>14005.3</x:v>
      </x:c>
      <x:c r="R138" s="22" t="n">
        <x:f>P138-Q138</x:f>
        <x:v>5055.6650000000045</x:v>
      </x:c>
      <x:c r="S138" t="str">
        <x:v>UPI</x:v>
      </x:c>
      <x:c r="T138" t="str">
        <x:v>Corporate</x:v>
      </x:c>
      <x:c r="U138" t="str">
        <x:v>Mobile App</x:v>
      </x:c>
    </x:row>
    <x:row r="139">
      <x:c r="A139" t="str">
        <x:v>ORD0138</x:v>
      </x:c>
      <x:c r="B139" s="20" t="n">
        <x:v>45831</x:v>
      </x:c>
      <x:c r="C139" t="str">
        <x:v>Vivaan Rao</x:v>
      </x:c>
      <x:c r="D139" t="str">
        <x:v>Male</x:v>
      </x:c>
      <x:c r="E139" t="str">
        <x:v>46-60</x:v>
      </x:c>
      <x:c r="F139" t="str">
        <x:v>Hyderabad</x:v>
      </x:c>
      <x:c r="G139" t="str">
        <x:v>Telangana</x:v>
      </x:c>
      <x:c r="H139" t="str">
        <x:v>South</x:v>
      </x:c>
      <x:c r="I139" t="str">
        <x:v>Fashion</x:v>
      </x:c>
      <x:c r="J139" t="str">
        <x:v>Women</x:v>
      </x:c>
      <x:c r="K139" t="str">
        <x:v>Kurti</x:v>
      </x:c>
      <x:c r="L139" t="n">
        <x:v>5</x:v>
      </x:c>
      <x:c r="M139" s="22" t="n">
        <x:v>1713.33</x:v>
      </x:c>
      <x:c r="N139" s="24" t="n">
        <x:v>0</x:v>
      </x:c>
      <x:c r="O139" s="22" t="n">
        <x:v>1000.73</x:v>
      </x:c>
      <x:c r="P139" s="22" t="n">
        <x:f>L139*M139*(1-N139)</x:f>
        <x:v>8566.65</x:v>
      </x:c>
      <x:c r="Q139" s="22" t="n">
        <x:f>L139*O139</x:f>
        <x:v>5003.65</x:v>
      </x:c>
      <x:c r="R139" s="22" t="n">
        <x:f>P139-Q139</x:f>
        <x:v>3563</x:v>
      </x:c>
      <x:c r="S139" t="str">
        <x:v>Net Banking</x:v>
      </x:c>
      <x:c r="T139" t="str">
        <x:v>Corporate</x:v>
      </x:c>
      <x:c r="U139" t="str">
        <x:v>Online</x:v>
      </x:c>
    </x:row>
    <x:row r="140">
      <x:c r="A140" t="str">
        <x:v>ORD0139</x:v>
      </x:c>
      <x:c r="B140" s="20" t="n">
        <x:v>45968</x:v>
      </x:c>
      <x:c r="C140" t="str">
        <x:v>Ananya Das</x:v>
      </x:c>
      <x:c r="D140" t="str">
        <x:v>Male</x:v>
      </x:c>
      <x:c r="E140" t="str">
        <x:v>46-60</x:v>
      </x:c>
      <x:c r="F140" t="str">
        <x:v>Kolkata</x:v>
      </x:c>
      <x:c r="G140" t="str">
        <x:v>West Bengal</x:v>
      </x:c>
      <x:c r="H140" t="str">
        <x:v>East</x:v>
      </x:c>
      <x:c r="I140" t="str">
        <x:v>Home &amp; Furniture</x:v>
      </x:c>
      <x:c r="J140" t="str">
        <x:v>Appliances</x:v>
      </x:c>
      <x:c r="K140" t="str">
        <x:v>Mixer Grinder</x:v>
      </x:c>
      <x:c r="L140" t="n">
        <x:v>4</x:v>
      </x:c>
      <x:c r="M140" s="22" t="n">
        <x:v>4489.88</x:v>
      </x:c>
      <x:c r="N140" s="24" t="n">
        <x:v>0.15</x:v>
      </x:c>
      <x:c r="O140" s="22" t="n">
        <x:v>2857.9</x:v>
      </x:c>
      <x:c r="P140" s="22" t="n">
        <x:f>L140*M140*(1-N140)</x:f>
        <x:v>15265.592</x:v>
      </x:c>
      <x:c r="Q140" s="22" t="n">
        <x:f>L140*O140</x:f>
        <x:v>11431.6</x:v>
      </x:c>
      <x:c r="R140" s="22" t="n">
        <x:f>P140-Q140</x:f>
        <x:v>3833.992</x:v>
      </x:c>
      <x:c r="S140" t="str">
        <x:v>Net Banking</x:v>
      </x:c>
      <x:c r="T140" t="str">
        <x:v>Corporate</x:v>
      </x:c>
      <x:c r="U140" t="str">
        <x:v>Mobile App</x:v>
      </x:c>
    </x:row>
    <x:row r="141">
      <x:c r="A141" t="str">
        <x:v>ORD0140</x:v>
      </x:c>
      <x:c r="B141" s="20" t="n">
        <x:v>45666</x:v>
      </x:c>
      <x:c r="C141" t="str">
        <x:v>Aarav Das</x:v>
      </x:c>
      <x:c r="D141" t="str">
        <x:v>Male</x:v>
      </x:c>
      <x:c r="E141" t="str">
        <x:v>36-45</x:v>
      </x:c>
      <x:c r="F141" t="str">
        <x:v>Bhubaneswar</x:v>
      </x:c>
      <x:c r="G141" t="str">
        <x:v>Odisha</x:v>
      </x:c>
      <x:c r="H141" t="str">
        <x:v>East</x:v>
      </x:c>
      <x:c r="I141" t="str">
        <x:v>Fashion</x:v>
      </x:c>
      <x:c r="J141" t="str">
        <x:v>Footwear</x:v>
      </x:c>
      <x:c r="K141" t="str">
        <x:v>Running Shoes</x:v>
      </x:c>
      <x:c r="L141" t="n">
        <x:v>5</x:v>
      </x:c>
      <x:c r="M141" s="22" t="n">
        <x:v>3597.33</x:v>
      </x:c>
      <x:c r="N141" s="24" t="n">
        <x:v>0.05</x:v>
      </x:c>
      <x:c r="O141" s="22" t="n">
        <x:v>2284.46</x:v>
      </x:c>
      <x:c r="P141" s="22" t="n">
        <x:f>L141*M141*(1-N141)</x:f>
        <x:v>17087.3175</x:v>
      </x:c>
      <x:c r="Q141" s="22" t="n">
        <x:f>L141*O141</x:f>
        <x:v>11422.3</x:v>
      </x:c>
      <x:c r="R141" s="22" t="n">
        <x:f>P141-Q141</x:f>
        <x:v>5665.017500000002</x:v>
      </x:c>
      <x:c r="S141" t="str">
        <x:v>Net Banking</x:v>
      </x:c>
      <x:c r="T141" t="str">
        <x:v>Home Office</x:v>
      </x:c>
      <x:c r="U141" t="str">
        <x:v>Online</x:v>
      </x:c>
    </x:row>
    <x:row r="142">
      <x:c r="A142" t="str">
        <x:v>ORD0141</x:v>
      </x:c>
      <x:c r="B142" s="20" t="n">
        <x:v>45684</x:v>
      </x:c>
      <x:c r="C142" t="str">
        <x:v>Rohit Sharma</x:v>
      </x:c>
      <x:c r="D142" t="str">
        <x:v>Female</x:v>
      </x:c>
      <x:c r="E142" t="str">
        <x:v>26-35</x:v>
      </x:c>
      <x:c r="F142" t="str">
        <x:v>Lucknow</x:v>
      </x:c>
      <x:c r="G142" t="str">
        <x:v>Uttar Pradesh</x:v>
      </x:c>
      <x:c r="H142" t="str">
        <x:v>North</x:v>
      </x:c>
      <x:c r="I142" t="str">
        <x:v>Beauty</x:v>
      </x:c>
      <x:c r="J142" t="str">
        <x:v>Skincare</x:v>
      </x:c>
      <x:c r="K142" t="str">
        <x:v>Face Serum</x:v>
      </x:c>
      <x:c r="L142" t="n">
        <x:v>4</x:v>
      </x:c>
      <x:c r="M142" s="22" t="n">
        <x:v>1104.26</x:v>
      </x:c>
      <x:c r="N142" s="24" t="n">
        <x:v>0</x:v>
      </x:c>
      <x:c r="O142" s="22" t="n">
        <x:v>610.62</x:v>
      </x:c>
      <x:c r="P142" s="22" t="n">
        <x:f>L142*M142*(1-N142)</x:f>
        <x:v>4417.04</x:v>
      </x:c>
      <x:c r="Q142" s="22" t="n">
        <x:f>L142*O142</x:f>
        <x:v>2442.48</x:v>
      </x:c>
      <x:c r="R142" s="22" t="n">
        <x:f>P142-Q142</x:f>
        <x:v>1974.56</x:v>
      </x:c>
      <x:c r="S142" t="str">
        <x:v>UPI</x:v>
      </x:c>
      <x:c r="T142" t="str">
        <x:v>Corporate</x:v>
      </x:c>
      <x:c r="U142" t="str">
        <x:v>Mobile App</x:v>
      </x:c>
    </x:row>
    <x:row r="143">
      <x:c r="A143" t="str">
        <x:v>ORD0142</x:v>
      </x:c>
      <x:c r="B143" s="20" t="n">
        <x:v>45872</x:v>
      </x:c>
      <x:c r="C143" t="str">
        <x:v>Vivaan Rao</x:v>
      </x:c>
      <x:c r="D143" t="str">
        <x:v>Female</x:v>
      </x:c>
      <x:c r="E143" t="str">
        <x:v>36-45</x:v>
      </x:c>
      <x:c r="F143" t="str">
        <x:v>Kolkata</x:v>
      </x:c>
      <x:c r="G143" t="str">
        <x:v>West Bengal</x:v>
      </x:c>
      <x:c r="H143" t="str">
        <x:v>East</x:v>
      </x:c>
      <x:c r="I143" t="str">
        <x:v>Home &amp; Furniture</x:v>
      </x:c>
      <x:c r="J143" t="str">
        <x:v>Appliances</x:v>
      </x:c>
      <x:c r="K143" t="str">
        <x:v>Air Fryer</x:v>
      </x:c>
      <x:c r="L143" t="n">
        <x:v>5</x:v>
      </x:c>
      <x:c r="M143" s="22" t="n">
        <x:v>7728.6</x:v>
      </x:c>
      <x:c r="N143" s="24" t="n">
        <x:v>0.1</x:v>
      </x:c>
      <x:c r="O143" s="22" t="n">
        <x:v>5063.43</x:v>
      </x:c>
      <x:c r="P143" s="22" t="n">
        <x:f>L143*M143*(1-N143)</x:f>
        <x:v>34778.700000000004</x:v>
      </x:c>
      <x:c r="Q143" s="22" t="n">
        <x:f>L143*O143</x:f>
        <x:v>25317.15</x:v>
      </x:c>
      <x:c r="R143" s="22" t="n">
        <x:f>P143-Q143</x:f>
        <x:v>9461.550000000003</x:v>
      </x:c>
      <x:c r="S143" t="str">
        <x:v>Cash on Delivery</x:v>
      </x:c>
      <x:c r="T143" t="str">
        <x:v>Home Office</x:v>
      </x:c>
      <x:c r="U143" t="str">
        <x:v>Mobile App</x:v>
      </x:c>
    </x:row>
    <x:row r="144">
      <x:c r="A144" t="str">
        <x:v>ORD0143</x:v>
      </x:c>
      <x:c r="B144" s="20" t="n">
        <x:v>45818</x:v>
      </x:c>
      <x:c r="C144" t="str">
        <x:v>Neha Das</x:v>
      </x:c>
      <x:c r="D144" t="str">
        <x:v>Male</x:v>
      </x:c>
      <x:c r="E144" t="str">
        <x:v>26-35</x:v>
      </x:c>
      <x:c r="F144" t="str">
        <x:v>Bhubaneswar</x:v>
      </x:c>
      <x:c r="G144" t="str">
        <x:v>Odisha</x:v>
      </x:c>
      <x:c r="H144" t="str">
        <x:v>East</x:v>
      </x:c>
      <x:c r="I144" t="str">
        <x:v>Home &amp; Furniture</x:v>
      </x:c>
      <x:c r="J144" t="str">
        <x:v>Appliances</x:v>
      </x:c>
      <x:c r="K144" t="str">
        <x:v>Air Fryer</x:v>
      </x:c>
      <x:c r="L144" t="n">
        <x:v>3</x:v>
      </x:c>
      <x:c r="M144" s="22" t="n">
        <x:v>7994.55</x:v>
      </x:c>
      <x:c r="N144" s="24" t="n">
        <x:v>0.2</x:v>
      </x:c>
      <x:c r="O144" s="22" t="n">
        <x:v>5035.67</x:v>
      </x:c>
      <x:c r="P144" s="22" t="n">
        <x:f>L144*M144*(1-N144)</x:f>
        <x:v>19186.920000000002</x:v>
      </x:c>
      <x:c r="Q144" s="22" t="n">
        <x:f>L144*O144</x:f>
        <x:v>15107.01</x:v>
      </x:c>
      <x:c r="R144" s="22" t="n">
        <x:f>P144-Q144</x:f>
        <x:v>4079.9100000000017</x:v>
      </x:c>
      <x:c r="S144" t="str">
        <x:v>Credit Card</x:v>
      </x:c>
      <x:c r="T144" t="str">
        <x:v>Corporate</x:v>
      </x:c>
      <x:c r="U144" t="str">
        <x:v>Retail Store</x:v>
      </x:c>
    </x:row>
    <x:row r="145">
      <x:c r="A145" t="str">
        <x:v>ORD0144</x:v>
      </x:c>
      <x:c r="B145" s="20" t="n">
        <x:v>45810</x:v>
      </x:c>
      <x:c r="C145" t="str">
        <x:v>Kavya Gupta</x:v>
      </x:c>
      <x:c r="D145" t="str">
        <x:v>Male</x:v>
      </x:c>
      <x:c r="E145" t="str">
        <x:v>36-45</x:v>
      </x:c>
      <x:c r="F145" t="str">
        <x:v>Ahmedabad</x:v>
      </x:c>
      <x:c r="G145" t="str">
        <x:v>Gujarat</x:v>
      </x:c>
      <x:c r="H145" t="str">
        <x:v>West</x:v>
      </x:c>
      <x:c r="I145" t="str">
        <x:v>Home &amp; Furniture</x:v>
      </x:c>
      <x:c r="J145" t="str">
        <x:v>Appliances</x:v>
      </x:c>
      <x:c r="K145" t="str">
        <x:v>Mixer Grinder</x:v>
      </x:c>
      <x:c r="L145" t="n">
        <x:v>4</x:v>
      </x:c>
      <x:c r="M145" s="22" t="n">
        <x:v>4382.23</x:v>
      </x:c>
      <x:c r="N145" s="24" t="n">
        <x:v>0.05</x:v>
      </x:c>
      <x:c r="O145" s="22" t="n">
        <x:v>2947.54</x:v>
      </x:c>
      <x:c r="P145" s="22" t="n">
        <x:f>L145*M145*(1-N145)</x:f>
        <x:v>16652.474</x:v>
      </x:c>
      <x:c r="Q145" s="22" t="n">
        <x:f>L145*O145</x:f>
        <x:v>11790.16</x:v>
      </x:c>
      <x:c r="R145" s="22" t="n">
        <x:f>P145-Q145</x:f>
        <x:v>4862.3139999999985</x:v>
      </x:c>
      <x:c r="S145" t="str">
        <x:v>UPI</x:v>
      </x:c>
      <x:c r="T145" t="str">
        <x:v>Home Office</x:v>
      </x:c>
      <x:c r="U145" t="str">
        <x:v>Retail Store</x:v>
      </x:c>
    </x:row>
    <x:row r="146">
      <x:c r="A146" t="str">
        <x:v>ORD0145</x:v>
      </x:c>
      <x:c r="B146" s="20" t="n">
        <x:v>45936</x:v>
      </x:c>
      <x:c r="C146" t="str">
        <x:v>Ananya Reddy</x:v>
      </x:c>
      <x:c r="D146" t="str">
        <x:v>Male</x:v>
      </x:c>
      <x:c r="E146" t="str">
        <x:v>46-60</x:v>
      </x:c>
      <x:c r="F146" t="str">
        <x:v>Hyderabad</x:v>
      </x:c>
      <x:c r="G146" t="str">
        <x:v>Telangana</x:v>
      </x:c>
      <x:c r="H146" t="str">
        <x:v>South</x:v>
      </x:c>
      <x:c r="I146" t="str">
        <x:v>Beauty</x:v>
      </x:c>
      <x:c r="J146" t="str">
        <x:v>Haircare</x:v>
      </x:c>
      <x:c r="K146" t="str">
        <x:v>Hair Dryer</x:v>
      </x:c>
      <x:c r="L146" t="n">
        <x:v>2</x:v>
      </x:c>
      <x:c r="M146" s="22" t="n">
        <x:v>2522.26</x:v>
      </x:c>
      <x:c r="N146" s="24" t="n">
        <x:v>0.05</x:v>
      </x:c>
      <x:c r="O146" s="22" t="n">
        <x:v>1502.73</x:v>
      </x:c>
      <x:c r="P146" s="22" t="n">
        <x:f>L146*M146*(1-N146)</x:f>
        <x:v>4792.294</x:v>
      </x:c>
      <x:c r="Q146" s="22" t="n">
        <x:f>L146*O146</x:f>
        <x:v>3005.46</x:v>
      </x:c>
      <x:c r="R146" s="22" t="n">
        <x:f>P146-Q146</x:f>
        <x:v>1786.8339999999998</x:v>
      </x:c>
      <x:c r="S146" t="str">
        <x:v>Debit Card</x:v>
      </x:c>
      <x:c r="T146" t="str">
        <x:v>Home Office</x:v>
      </x:c>
      <x:c r="U146" t="str">
        <x:v>Mobile App</x:v>
      </x:c>
    </x:row>
    <x:row r="147">
      <x:c r="A147" t="str">
        <x:v>ORD0146</x:v>
      </x:c>
      <x:c r="B147" s="20" t="n">
        <x:v>45767</x:v>
      </x:c>
      <x:c r="C147" t="str">
        <x:v>Nikhil Patel</x:v>
      </x:c>
      <x:c r="D147" t="str">
        <x:v>Female</x:v>
      </x:c>
      <x:c r="E147" t="str">
        <x:v>18-25</x:v>
      </x:c>
      <x:c r="F147" t="str">
        <x:v>Jaipur</x:v>
      </x:c>
      <x:c r="G147" t="str">
        <x:v>Rajasthan</x:v>
      </x:c>
      <x:c r="H147" t="str">
        <x:v>North</x:v>
      </x:c>
      <x:c r="I147" t="str">
        <x:v>Home &amp; Furniture</x:v>
      </x:c>
      <x:c r="J147" t="str">
        <x:v>Appliances</x:v>
      </x:c>
      <x:c r="K147" t="str">
        <x:v>Mixer Grinder</x:v>
      </x:c>
      <x:c r="L147" t="n">
        <x:v>2</x:v>
      </x:c>
      <x:c r="M147" s="22" t="n">
        <x:v>4490.99</x:v>
      </x:c>
      <x:c r="N147" s="24" t="n">
        <x:v>0</x:v>
      </x:c>
      <x:c r="O147" s="22" t="n">
        <x:v>2945.51</x:v>
      </x:c>
      <x:c r="P147" s="22" t="n">
        <x:f>L147*M147*(1-N147)</x:f>
        <x:v>8981.98</x:v>
      </x:c>
      <x:c r="Q147" s="22" t="n">
        <x:f>L147*O147</x:f>
        <x:v>5891.02</x:v>
      </x:c>
      <x:c r="R147" s="22" t="n">
        <x:f>P147-Q147</x:f>
        <x:v>3090.959999999999</x:v>
      </x:c>
      <x:c r="S147" t="str">
        <x:v>Net Banking</x:v>
      </x:c>
      <x:c r="T147" t="str">
        <x:v>Consumer</x:v>
      </x:c>
      <x:c r="U147" t="str">
        <x:v>Retail Store</x:v>
      </x:c>
    </x:row>
    <x:row r="148">
      <x:c r="A148" t="str">
        <x:v>ORD0147</x:v>
      </x:c>
      <x:c r="B148" s="20" t="n">
        <x:v>45777</x:v>
      </x:c>
      <x:c r="C148" t="str">
        <x:v>Sai Sharma</x:v>
      </x:c>
      <x:c r="D148" t="str">
        <x:v>Female</x:v>
      </x:c>
      <x:c r="E148" t="str">
        <x:v>46-60</x:v>
      </x:c>
      <x:c r="F148" t="str">
        <x:v>Bhubaneswar</x:v>
      </x:c>
      <x:c r="G148" t="str">
        <x:v>Odisha</x:v>
      </x:c>
      <x:c r="H148" t="str">
        <x:v>East</x:v>
      </x:c>
      <x:c r="I148" t="str">
        <x:v>Electronics</x:v>
      </x:c>
      <x:c r="J148" t="str">
        <x:v>Laptop</x:v>
      </x:c>
      <x:c r="K148" t="str">
        <x:v>AeroBook 14</x:v>
      </x:c>
      <x:c r="L148" t="n">
        <x:v>1</x:v>
      </x:c>
      <x:c r="M148" s="22" t="n">
        <x:v>61139.95</x:v>
      </x:c>
      <x:c r="N148" s="24" t="n">
        <x:v>0.2</x:v>
      </x:c>
      <x:c r="O148" s="22" t="n">
        <x:v>50869.43</x:v>
      </x:c>
      <x:c r="P148" s="22" t="n">
        <x:f>L148*M148*(1-N148)</x:f>
        <x:v>48911.96</x:v>
      </x:c>
      <x:c r="Q148" s="22" t="n">
        <x:f>L148*O148</x:f>
        <x:v>50869.43</x:v>
      </x:c>
      <x:c r="R148" s="22" t="n">
        <x:f>P148-Q148</x:f>
        <x:v>-1957.4700000000012</x:v>
      </x:c>
      <x:c r="S148" t="str">
        <x:v>Cash on Delivery</x:v>
      </x:c>
      <x:c r="T148" t="str">
        <x:v>Corporate</x:v>
      </x:c>
      <x:c r="U148" t="str">
        <x:v>Retail Store</x:v>
      </x:c>
    </x:row>
    <x:row r="149">
      <x:c r="A149" t="str">
        <x:v>ORD0148</x:v>
      </x:c>
      <x:c r="B149" s="20" t="n">
        <x:v>45760</x:v>
      </x:c>
      <x:c r="C149" t="str">
        <x:v>Rohit Gupta</x:v>
      </x:c>
      <x:c r="D149" t="str">
        <x:v>Female</x:v>
      </x:c>
      <x:c r="E149" t="str">
        <x:v>26-35</x:v>
      </x:c>
      <x:c r="F149" t="str">
        <x:v>Jaipur</x:v>
      </x:c>
      <x:c r="G149" t="str">
        <x:v>Rajasthan</x:v>
      </x:c>
      <x:c r="H149" t="str">
        <x:v>North</x:v>
      </x:c>
      <x:c r="I149" t="str">
        <x:v>Fashion</x:v>
      </x:c>
      <x:c r="J149" t="str">
        <x:v>Footwear</x:v>
      </x:c>
      <x:c r="K149" t="str">
        <x:v>Running Shoes</x:v>
      </x:c>
      <x:c r="L149" t="n">
        <x:v>1</x:v>
      </x:c>
      <x:c r="M149" s="22" t="n">
        <x:v>3379.83</x:v>
      </x:c>
      <x:c r="N149" s="24" t="n">
        <x:v>0.2</x:v>
      </x:c>
      <x:c r="O149" s="22" t="n">
        <x:v>2122.41</x:v>
      </x:c>
      <x:c r="P149" s="22" t="n">
        <x:f>L149*M149*(1-N149)</x:f>
        <x:v>2703.864</x:v>
      </x:c>
      <x:c r="Q149" s="22" t="n">
        <x:f>L149*O149</x:f>
        <x:v>2122.41</x:v>
      </x:c>
      <x:c r="R149" s="22" t="n">
        <x:f>P149-Q149</x:f>
        <x:v>581.4540000000002</x:v>
      </x:c>
      <x:c r="S149" t="str">
        <x:v>Cash on Delivery</x:v>
      </x:c>
      <x:c r="T149" t="str">
        <x:v>Consumer</x:v>
      </x:c>
      <x:c r="U149" t="str">
        <x:v>Online</x:v>
      </x:c>
    </x:row>
    <x:row r="150">
      <x:c r="A150" t="str">
        <x:v>ORD0149</x:v>
      </x:c>
      <x:c r="B150" s="20" t="n">
        <x:v>45861</x:v>
      </x:c>
      <x:c r="C150" t="str">
        <x:v>Ananya Das</x:v>
      </x:c>
      <x:c r="D150" t="str">
        <x:v>Female</x:v>
      </x:c>
      <x:c r="E150" t="str">
        <x:v>36-45</x:v>
      </x:c>
      <x:c r="F150" t="str">
        <x:v>Hyderabad</x:v>
      </x:c>
      <x:c r="G150" t="str">
        <x:v>Telangana</x:v>
      </x:c>
      <x:c r="H150" t="str">
        <x:v>South</x:v>
      </x:c>
      <x:c r="I150" t="str">
        <x:v>Beauty</x:v>
      </x:c>
      <x:c r="J150" t="str">
        <x:v>Skincare</x:v>
      </x:c>
      <x:c r="K150" t="str">
        <x:v>Face Serum</x:v>
      </x:c>
      <x:c r="L150" t="n">
        <x:v>3</x:v>
      </x:c>
      <x:c r="M150" s="22" t="n">
        <x:v>1176.84</x:v>
      </x:c>
      <x:c r="N150" s="24" t="n">
        <x:v>0</x:v>
      </x:c>
      <x:c r="O150" s="22" t="n">
        <x:v>622.18</x:v>
      </x:c>
      <x:c r="P150" s="22" t="n">
        <x:f>L150*M150*(1-N150)</x:f>
        <x:v>3530.5199999999995</x:v>
      </x:c>
      <x:c r="Q150" s="22" t="n">
        <x:f>L150*O150</x:f>
        <x:v>1866.54</x:v>
      </x:c>
      <x:c r="R150" s="22" t="n">
        <x:f>P150-Q150</x:f>
        <x:v>1663.9799999999996</x:v>
      </x:c>
      <x:c r="S150" t="str">
        <x:v>Debit Card</x:v>
      </x:c>
      <x:c r="T150" t="str">
        <x:v>Corporate</x:v>
      </x:c>
      <x:c r="U150" t="str">
        <x:v>Retail Store</x:v>
      </x:c>
    </x:row>
    <x:row r="151">
      <x:c r="A151" t="str">
        <x:v>ORD0150</x:v>
      </x:c>
      <x:c r="B151" s="20" t="n">
        <x:v>45936</x:v>
      </x:c>
      <x:c r="C151" t="str">
        <x:v>Rahul Verma</x:v>
      </x:c>
      <x:c r="D151" t="str">
        <x:v>Male</x:v>
      </x:c>
      <x:c r="E151" t="str">
        <x:v>26-35</x:v>
      </x:c>
      <x:c r="F151" t="str">
        <x:v>Mumbai</x:v>
      </x:c>
      <x:c r="G151" t="str">
        <x:v>Maharashtra</x:v>
      </x:c>
      <x:c r="H151" t="str">
        <x:v>West</x:v>
      </x:c>
      <x:c r="I151" t="str">
        <x:v>Beauty</x:v>
      </x:c>
      <x:c r="J151" t="str">
        <x:v>Skincare</x:v>
      </x:c>
      <x:c r="K151" t="str">
        <x:v>Face Serum</x:v>
      </x:c>
      <x:c r="L151" t="n">
        <x:v>2</x:v>
      </x:c>
      <x:c r="M151" s="22" t="n">
        <x:v>1161.79</x:v>
      </x:c>
      <x:c r="N151" s="24" t="n">
        <x:v>0</x:v>
      </x:c>
      <x:c r="O151" s="22" t="n">
        <x:v>598.46</x:v>
      </x:c>
      <x:c r="P151" s="22" t="n">
        <x:f>L151*M151*(1-N151)</x:f>
        <x:v>2323.58</x:v>
      </x:c>
      <x:c r="Q151" s="22" t="n">
        <x:f>L151*O151</x:f>
        <x:v>1196.92</x:v>
      </x:c>
      <x:c r="R151" s="22" t="n">
        <x:f>P151-Q151</x:f>
        <x:v>1126.6599999999999</x:v>
      </x:c>
      <x:c r="S151" t="str">
        <x:v>UPI</x:v>
      </x:c>
      <x:c r="T151" t="str">
        <x:v>Home Office</x:v>
      </x:c>
      <x:c r="U151" t="str">
        <x:v>Mobile App</x:v>
      </x:c>
    </x:row>
    <x:row r="152">
      <x:c r="A152" t="str">
        <x:v>ORD0151</x:v>
      </x:c>
      <x:c r="B152" s="20" t="n">
        <x:v>45809</x:v>
      </x:c>
      <x:c r="C152" t="str">
        <x:v>Priya Reddy</x:v>
      </x:c>
      <x:c r="D152" t="str">
        <x:v>Male</x:v>
      </x:c>
      <x:c r="E152" t="str">
        <x:v>18-25</x:v>
      </x:c>
      <x:c r="F152" t="str">
        <x:v>Delhi</x:v>
      </x:c>
      <x:c r="G152" t="str">
        <x:v>Delhi</x:v>
      </x:c>
      <x:c r="H152" t="str">
        <x:v>North</x:v>
      </x:c>
      <x:c r="I152" t="str">
        <x:v>Home &amp; Furniture</x:v>
      </x:c>
      <x:c r="J152" t="str">
        <x:v>Furniture</x:v>
      </x:c>
      <x:c r="K152" t="str">
        <x:v>Study Table</x:v>
      </x:c>
      <x:c r="L152" t="n">
        <x:v>4</x:v>
      </x:c>
      <x:c r="M152" s="22" t="n">
        <x:v>12721.91</x:v>
      </x:c>
      <x:c r="N152" s="24" t="n">
        <x:v>0.1</x:v>
      </x:c>
      <x:c r="O152" s="22" t="n">
        <x:v>8897.66</x:v>
      </x:c>
      <x:c r="P152" s="22" t="n">
        <x:f>L152*M152*(1-N152)</x:f>
        <x:v>45798.876000000004</x:v>
      </x:c>
      <x:c r="Q152" s="22" t="n">
        <x:f>L152*O152</x:f>
        <x:v>35590.64</x:v>
      </x:c>
      <x:c r="R152" s="22" t="n">
        <x:f>P152-Q152</x:f>
        <x:v>10208.236000000004</x:v>
      </x:c>
      <x:c r="S152" t="str">
        <x:v>Credit Card</x:v>
      </x:c>
      <x:c r="T152" t="str">
        <x:v>Consumer</x:v>
      </x:c>
      <x:c r="U152" t="str">
        <x:v>Mobile App</x:v>
      </x:c>
    </x:row>
    <x:row r="153">
      <x:c r="A153" t="str">
        <x:v>ORD0152</x:v>
      </x:c>
      <x:c r="B153" s="20" t="n">
        <x:v>45823</x:v>
      </x:c>
      <x:c r="C153" t="str">
        <x:v>Nikhil Das</x:v>
      </x:c>
      <x:c r="D153" t="str">
        <x:v>Female</x:v>
      </x:c>
      <x:c r="E153" t="str">
        <x:v>36-45</x:v>
      </x:c>
      <x:c r="F153" t="str">
        <x:v>Chennai</x:v>
      </x:c>
      <x:c r="G153" t="str">
        <x:v>Tamil Nadu</x:v>
      </x:c>
      <x:c r="H153" t="str">
        <x:v>South</x:v>
      </x:c>
      <x:c r="I153" t="str">
        <x:v>Home &amp; Furniture</x:v>
      </x:c>
      <x:c r="J153" t="str">
        <x:v>Furniture</x:v>
      </x:c>
      <x:c r="K153" t="str">
        <x:v>Office Chair</x:v>
      </x:c>
      <x:c r="L153" t="n">
        <x:v>3</x:v>
      </x:c>
      <x:c r="M153" s="22" t="n">
        <x:v>8655.53</x:v>
      </x:c>
      <x:c r="N153" s="24" t="n">
        <x:v>0.05</x:v>
      </x:c>
      <x:c r="O153" s="22" t="n">
        <x:v>6068.82</x:v>
      </x:c>
      <x:c r="P153" s="22" t="n">
        <x:f>L153*M153*(1-N153)</x:f>
        <x:v>24668.260500000004</x:v>
      </x:c>
      <x:c r="Q153" s="22" t="n">
        <x:f>L153*O153</x:f>
        <x:v>18206.46</x:v>
      </x:c>
      <x:c r="R153" s="22" t="n">
        <x:f>P153-Q153</x:f>
        <x:v>6461.800500000005</x:v>
      </x:c>
      <x:c r="S153" t="str">
        <x:v>Debit Card</x:v>
      </x:c>
      <x:c r="T153" t="str">
        <x:v>Home Office</x:v>
      </x:c>
      <x:c r="U153" t="str">
        <x:v>Online</x:v>
      </x:c>
    </x:row>
    <x:row r="154">
      <x:c r="A154" t="str">
        <x:v>ORD0153</x:v>
      </x:c>
      <x:c r="B154" s="20" t="n">
        <x:v>45689</x:v>
      </x:c>
      <x:c r="C154" t="str">
        <x:v>Ananya Reddy</x:v>
      </x:c>
      <x:c r="D154" t="str">
        <x:v>Male</x:v>
      </x:c>
      <x:c r="E154" t="str">
        <x:v>36-45</x:v>
      </x:c>
      <x:c r="F154" t="str">
        <x:v>Bhubaneswar</x:v>
      </x:c>
      <x:c r="G154" t="str">
        <x:v>Odisha</x:v>
      </x:c>
      <x:c r="H154" t="str">
        <x:v>East</x:v>
      </x:c>
      <x:c r="I154" t="str">
        <x:v>Electronics</x:v>
      </x:c>
      <x:c r="J154" t="str">
        <x:v>Smartwatch</x:v>
      </x:c>
      <x:c r="K154" t="str">
        <x:v>FitTime S2</x:v>
      </x:c>
      <x:c r="L154" t="n">
        <x:v>5</x:v>
      </x:c>
      <x:c r="M154" s="22" t="n">
        <x:v>7752.71</x:v>
      </x:c>
      <x:c r="N154" s="24" t="n">
        <x:v>0.2</x:v>
      </x:c>
      <x:c r="O154" s="22" t="n">
        <x:v>5557.63</x:v>
      </x:c>
      <x:c r="P154" s="22" t="n">
        <x:f>L154*M154*(1-N154)</x:f>
        <x:v>31010.840000000004</x:v>
      </x:c>
      <x:c r="Q154" s="22" t="n">
        <x:f>L154*O154</x:f>
        <x:v>27788.15</x:v>
      </x:c>
      <x:c r="R154" s="22" t="n">
        <x:f>P154-Q154</x:f>
        <x:v>3222.6900000000023</x:v>
      </x:c>
      <x:c r="S154" t="str">
        <x:v>Net Banking</x:v>
      </x:c>
      <x:c r="T154" t="str">
        <x:v>Consumer</x:v>
      </x:c>
      <x:c r="U154" t="str">
        <x:v>Online</x:v>
      </x:c>
    </x:row>
    <x:row r="155">
      <x:c r="A155" t="str">
        <x:v>ORD0154</x:v>
      </x:c>
      <x:c r="B155" s="20" t="n">
        <x:v>45726</x:v>
      </x:c>
      <x:c r="C155" t="str">
        <x:v>Ravi Verma</x:v>
      </x:c>
      <x:c r="D155" t="str">
        <x:v>Female</x:v>
      </x:c>
      <x:c r="E155" t="str">
        <x:v>26-35</x:v>
      </x:c>
      <x:c r="F155" t="str">
        <x:v>Kolkata</x:v>
      </x:c>
      <x:c r="G155" t="str">
        <x:v>West Bengal</x:v>
      </x:c>
      <x:c r="H155" t="str">
        <x:v>East</x:v>
      </x:c>
      <x:c r="I155" t="str">
        <x:v>Beauty</x:v>
      </x:c>
      <x:c r="J155" t="str">
        <x:v>Skincare</x:v>
      </x:c>
      <x:c r="K155" t="str">
        <x:v>Face Serum</x:v>
      </x:c>
      <x:c r="L155" t="n">
        <x:v>3</x:v>
      </x:c>
      <x:c r="M155" s="22" t="n">
        <x:v>1092.08</x:v>
      </x:c>
      <x:c r="N155" s="24" t="n">
        <x:v>0.1</x:v>
      </x:c>
      <x:c r="O155" s="22" t="n">
        <x:v>623.46</x:v>
      </x:c>
      <x:c r="P155" s="22" t="n">
        <x:f>L155*M155*(1-N155)</x:f>
        <x:v>2948.616</x:v>
      </x:c>
      <x:c r="Q155" s="22" t="n">
        <x:f>L155*O155</x:f>
        <x:v>1870.38</x:v>
      </x:c>
      <x:c r="R155" s="22" t="n">
        <x:f>P155-Q155</x:f>
        <x:v>1078.2359999999999</x:v>
      </x:c>
      <x:c r="S155" t="str">
        <x:v>Net Banking</x:v>
      </x:c>
      <x:c r="T155" t="str">
        <x:v>Consumer</x:v>
      </x:c>
      <x:c r="U155" t="str">
        <x:v>Retail Store</x:v>
      </x:c>
    </x:row>
    <x:row r="156">
      <x:c r="A156" t="str">
        <x:v>ORD0155</x:v>
      </x:c>
      <x:c r="B156" s="20" t="n">
        <x:v>45886</x:v>
      </x:c>
      <x:c r="C156" t="str">
        <x:v>Nikhil Gupta</x:v>
      </x:c>
      <x:c r="D156" t="str">
        <x:v>Female</x:v>
      </x:c>
      <x:c r="E156" t="str">
        <x:v>26-35</x:v>
      </x:c>
      <x:c r="F156" t="str">
        <x:v>Bengaluru</x:v>
      </x:c>
      <x:c r="G156" t="str">
        <x:v>Karnataka</x:v>
      </x:c>
      <x:c r="H156" t="str">
        <x:v>South</x:v>
      </x:c>
      <x:c r="I156" t="str">
        <x:v>Fashion</x:v>
      </x:c>
      <x:c r="J156" t="str">
        <x:v>Men</x:v>
      </x:c>
      <x:c r="K156" t="str">
        <x:v>Casual Shirt</x:v>
      </x:c>
      <x:c r="L156" t="n">
        <x:v>5</x:v>
      </x:c>
      <x:c r="M156" s="22" t="n">
        <x:v>1706.81</x:v>
      </x:c>
      <x:c r="N156" s="24" t="n">
        <x:v>0.15</x:v>
      </x:c>
      <x:c r="O156" s="22" t="n">
        <x:v>872.08</x:v>
      </x:c>
      <x:c r="P156" s="22" t="n">
        <x:f>L156*M156*(1-N156)</x:f>
        <x:v>7253.942499999999</x:v>
      </x:c>
      <x:c r="Q156" s="22" t="n">
        <x:f>L156*O156</x:f>
        <x:v>4360.400000000001</x:v>
      </x:c>
      <x:c r="R156" s="22" t="n">
        <x:f>P156-Q156</x:f>
        <x:v>2893.5424999999987</x:v>
      </x:c>
      <x:c r="S156" t="str">
        <x:v>Debit Card</x:v>
      </x:c>
      <x:c r="T156" t="str">
        <x:v>Home Office</x:v>
      </x:c>
      <x:c r="U156" t="str">
        <x:v>Mobile App</x:v>
      </x:c>
    </x:row>
    <x:row r="157">
      <x:c r="A157" t="str">
        <x:v>ORD0156</x:v>
      </x:c>
      <x:c r="B157" s="20" t="n">
        <x:v>45717</x:v>
      </x:c>
      <x:c r="C157" t="str">
        <x:v>Meena Naidu</x:v>
      </x:c>
      <x:c r="D157" t="str">
        <x:v>Male</x:v>
      </x:c>
      <x:c r="E157" t="str">
        <x:v>18-25</x:v>
      </x:c>
      <x:c r="F157" t="str">
        <x:v>Visakhapatnam</x:v>
      </x:c>
      <x:c r="G157" t="str">
        <x:v>Andhra Pradesh</x:v>
      </x:c>
      <x:c r="H157" t="str">
        <x:v>South</x:v>
      </x:c>
      <x:c r="I157" t="str">
        <x:v>Home &amp; Furniture</x:v>
      </x:c>
      <x:c r="J157" t="str">
        <x:v>Appliances</x:v>
      </x:c>
      <x:c r="K157" t="str">
        <x:v>Air Fryer</x:v>
      </x:c>
      <x:c r="L157" t="n">
        <x:v>1</x:v>
      </x:c>
      <x:c r="M157" s="22" t="n">
        <x:v>7009.13</x:v>
      </x:c>
      <x:c r="N157" s="24" t="n">
        <x:v>0.1</x:v>
      </x:c>
      <x:c r="O157" s="22" t="n">
        <x:v>5104.23</x:v>
      </x:c>
      <x:c r="P157" s="22" t="n">
        <x:f>L157*M157*(1-N157)</x:f>
        <x:v>6308.217000000001</x:v>
      </x:c>
      <x:c r="Q157" s="22" t="n">
        <x:f>L157*O157</x:f>
        <x:v>5104.23</x:v>
      </x:c>
      <x:c r="R157" s="22" t="n">
        <x:f>P157-Q157</x:f>
        <x:v>1203.987000000001</x:v>
      </x:c>
      <x:c r="S157" t="str">
        <x:v>Net Banking</x:v>
      </x:c>
      <x:c r="T157" t="str">
        <x:v>Corporate</x:v>
      </x:c>
      <x:c r="U157" t="str">
        <x:v>Retail Store</x:v>
      </x:c>
    </x:row>
    <x:row r="158">
      <x:c r="A158" t="str">
        <x:v>ORD0157</x:v>
      </x:c>
      <x:c r="B158" s="20" t="n">
        <x:v>45815</x:v>
      </x:c>
      <x:c r="C158" t="str">
        <x:v>Vivaan Naidu</x:v>
      </x:c>
      <x:c r="D158" t="str">
        <x:v>Male</x:v>
      </x:c>
      <x:c r="E158" t="str">
        <x:v>18-25</x:v>
      </x:c>
      <x:c r="F158" t="str">
        <x:v>Vijayawada</x:v>
      </x:c>
      <x:c r="G158" t="str">
        <x:v>Andhra Pradesh</x:v>
      </x:c>
      <x:c r="H158" t="str">
        <x:v>South</x:v>
      </x:c>
      <x:c r="I158" t="str">
        <x:v>Electronics</x:v>
      </x:c>
      <x:c r="J158" t="str">
        <x:v>Smartwatch</x:v>
      </x:c>
      <x:c r="K158" t="str">
        <x:v>FitTime S2</x:v>
      </x:c>
      <x:c r="L158" t="n">
        <x:v>2</x:v>
      </x:c>
      <x:c r="M158" s="22" t="n">
        <x:v>7685.71</x:v>
      </x:c>
      <x:c r="N158" s="24" t="n">
        <x:v>0.15</x:v>
      </x:c>
      <x:c r="O158" s="22" t="n">
        <x:v>5377.35</x:v>
      </x:c>
      <x:c r="P158" s="22" t="n">
        <x:f>L158*M158*(1-N158)</x:f>
        <x:v>13065.707</x:v>
      </x:c>
      <x:c r="Q158" s="22" t="n">
        <x:f>L158*O158</x:f>
        <x:v>10754.7</x:v>
      </x:c>
      <x:c r="R158" s="22" t="n">
        <x:f>P158-Q158</x:f>
        <x:v>2311.0069999999996</x:v>
      </x:c>
      <x:c r="S158" t="str">
        <x:v>Net Banking</x:v>
      </x:c>
      <x:c r="T158" t="str">
        <x:v>Consumer</x:v>
      </x:c>
      <x:c r="U158" t="str">
        <x:v>Online</x:v>
      </x:c>
    </x:row>
    <x:row r="159">
      <x:c r="A159" t="str">
        <x:v>ORD0158</x:v>
      </x:c>
      <x:c r="B159" s="20" t="n">
        <x:v>45899</x:v>
      </x:c>
      <x:c r="C159" t="str">
        <x:v>Pooja Naidu</x:v>
      </x:c>
      <x:c r="D159" t="str">
        <x:v>Male</x:v>
      </x:c>
      <x:c r="E159" t="str">
        <x:v>18-25</x:v>
      </x:c>
      <x:c r="F159" t="str">
        <x:v>Pune</x:v>
      </x:c>
      <x:c r="G159" t="str">
        <x:v>Maharashtra</x:v>
      </x:c>
      <x:c r="H159" t="str">
        <x:v>West</x:v>
      </x:c>
      <x:c r="I159" t="str">
        <x:v>Electronics</x:v>
      </x:c>
      <x:c r="J159" t="str">
        <x:v>Headphones</x:v>
      </x:c>
      <x:c r="K159" t="str">
        <x:v>SoundMax Pro</x:v>
      </x:c>
      <x:c r="L159" t="n">
        <x:v>4</x:v>
      </x:c>
      <x:c r="M159" s="22" t="n">
        <x:v>4434.38</x:v>
      </x:c>
      <x:c r="N159" s="24" t="n">
        <x:v>0.05</x:v>
      </x:c>
      <x:c r="O159" s="22" t="n">
        <x:v>3064.55</x:v>
      </x:c>
      <x:c r="P159" s="22" t="n">
        <x:f>L159*M159*(1-N159)</x:f>
        <x:v>16850.644</x:v>
      </x:c>
      <x:c r="Q159" s="22" t="n">
        <x:f>L159*O159</x:f>
        <x:v>12258.2</x:v>
      </x:c>
      <x:c r="R159" s="22" t="n">
        <x:f>P159-Q159</x:f>
        <x:v>4592.4439999999995</x:v>
      </x:c>
      <x:c r="S159" t="str">
        <x:v>Net Banking</x:v>
      </x:c>
      <x:c r="T159" t="str">
        <x:v>Consumer</x:v>
      </x:c>
      <x:c r="U159" t="str">
        <x:v>Retail Store</x:v>
      </x:c>
    </x:row>
    <x:row r="160">
      <x:c r="A160" t="str">
        <x:v>ORD0159</x:v>
      </x:c>
      <x:c r="B160" s="20" t="n">
        <x:v>45836</x:v>
      </x:c>
      <x:c r="C160" t="str">
        <x:v>Aarav Sharma</x:v>
      </x:c>
      <x:c r="D160" t="str">
        <x:v>Male</x:v>
      </x:c>
      <x:c r="E160" t="str">
        <x:v>46-60</x:v>
      </x:c>
      <x:c r="F160" t="str">
        <x:v>Bengaluru</x:v>
      </x:c>
      <x:c r="G160" t="str">
        <x:v>Karnataka</x:v>
      </x:c>
      <x:c r="H160" t="str">
        <x:v>South</x:v>
      </x:c>
      <x:c r="I160" t="str">
        <x:v>Electronics</x:v>
      </x:c>
      <x:c r="J160" t="str">
        <x:v>Smartphone</x:v>
      </x:c>
      <x:c r="K160" t="str">
        <x:v>Nova X</x:v>
      </x:c>
      <x:c r="L160" t="n">
        <x:v>2</x:v>
      </x:c>
      <x:c r="M160" s="22" t="n">
        <x:v>34523.38</x:v>
      </x:c>
      <x:c r="N160" s="24" t="n">
        <x:v>0.2</x:v>
      </x:c>
      <x:c r="O160" s="22" t="n">
        <x:v>24290.39</x:v>
      </x:c>
      <x:c r="P160" s="22" t="n">
        <x:f>L160*M160*(1-N160)</x:f>
        <x:v>55237.407999999996</x:v>
      </x:c>
      <x:c r="Q160" s="22" t="n">
        <x:f>L160*O160</x:f>
        <x:v>48580.78</x:v>
      </x:c>
      <x:c r="R160" s="22" t="n">
        <x:f>P160-Q160</x:f>
        <x:v>6656.627999999997</x:v>
      </x:c>
      <x:c r="S160" t="str">
        <x:v>Net Banking</x:v>
      </x:c>
      <x:c r="T160" t="str">
        <x:v>Corporate</x:v>
      </x:c>
      <x:c r="U160" t="str">
        <x:v>Retail Store</x:v>
      </x:c>
    </x:row>
    <x:row r="161">
      <x:c r="A161" t="str">
        <x:v>ORD0160</x:v>
      </x:c>
      <x:c r="B161" s="20" t="n">
        <x:v>45852</x:v>
      </x:c>
      <x:c r="C161" t="str">
        <x:v>Arjun Sharma</x:v>
      </x:c>
      <x:c r="D161" t="str">
        <x:v>Male</x:v>
      </x:c>
      <x:c r="E161" t="str">
        <x:v>18-25</x:v>
      </x:c>
      <x:c r="F161" t="str">
        <x:v>Bhubaneswar</x:v>
      </x:c>
      <x:c r="G161" t="str">
        <x:v>Odisha</x:v>
      </x:c>
      <x:c r="H161" t="str">
        <x:v>East</x:v>
      </x:c>
      <x:c r="I161" t="str">
        <x:v>Home &amp; Furniture</x:v>
      </x:c>
      <x:c r="J161" t="str">
        <x:v>Furniture</x:v>
      </x:c>
      <x:c r="K161" t="str">
        <x:v>Study Table</x:v>
      </x:c>
      <x:c r="L161" t="n">
        <x:v>2</x:v>
      </x:c>
      <x:c r="M161" s="22" t="n">
        <x:v>12421.25</x:v>
      </x:c>
      <x:c r="N161" s="24" t="n">
        <x:v>0.2</x:v>
      </x:c>
      <x:c r="O161" s="22" t="n">
        <x:v>8557.21</x:v>
      </x:c>
      <x:c r="P161" s="22" t="n">
        <x:f>L161*M161*(1-N161)</x:f>
        <x:v>19874</x:v>
      </x:c>
      <x:c r="Q161" s="22" t="n">
        <x:f>L161*O161</x:f>
        <x:v>17114.42</x:v>
      </x:c>
      <x:c r="R161" s="22" t="n">
        <x:f>P161-Q161</x:f>
        <x:v>2759.5800000000017</x:v>
      </x:c>
      <x:c r="S161" t="str">
        <x:v>Credit Card</x:v>
      </x:c>
      <x:c r="T161" t="str">
        <x:v>Consumer</x:v>
      </x:c>
      <x:c r="U161" t="str">
        <x:v>Online</x:v>
      </x:c>
    </x:row>
    <x:row r="162">
      <x:c r="A162" t="str">
        <x:v>ORD0161</x:v>
      </x:c>
      <x:c r="B162" s="20" t="n">
        <x:v>45709</x:v>
      </x:c>
      <x:c r="C162" t="str">
        <x:v>Vivaan Naidu</x:v>
      </x:c>
      <x:c r="D162" t="str">
        <x:v>Male</x:v>
      </x:c>
      <x:c r="E162" t="str">
        <x:v>26-35</x:v>
      </x:c>
      <x:c r="F162" t="str">
        <x:v>Kolkata</x:v>
      </x:c>
      <x:c r="G162" t="str">
        <x:v>West Bengal</x:v>
      </x:c>
      <x:c r="H162" t="str">
        <x:v>East</x:v>
      </x:c>
      <x:c r="I162" t="str">
        <x:v>Electronics</x:v>
      </x:c>
      <x:c r="J162" t="str">
        <x:v>Smartwatch</x:v>
      </x:c>
      <x:c r="K162" t="str">
        <x:v>FitTime S2</x:v>
      </x:c>
      <x:c r="L162" t="n">
        <x:v>1</x:v>
      </x:c>
      <x:c r="M162" s="22" t="n">
        <x:v>8125.16</x:v>
      </x:c>
      <x:c r="N162" s="24" t="n">
        <x:v>0</x:v>
      </x:c>
      <x:c r="O162" s="22" t="n">
        <x:v>5691.07</x:v>
      </x:c>
      <x:c r="P162" s="22" t="n">
        <x:f>L162*M162*(1-N162)</x:f>
        <x:v>8125.16</x:v>
      </x:c>
      <x:c r="Q162" s="22" t="n">
        <x:f>L162*O162</x:f>
        <x:v>5691.07</x:v>
      </x:c>
      <x:c r="R162" s="22" t="n">
        <x:f>P162-Q162</x:f>
        <x:v>2434.09</x:v>
      </x:c>
      <x:c r="S162" t="str">
        <x:v>Net Banking</x:v>
      </x:c>
      <x:c r="T162" t="str">
        <x:v>Consumer</x:v>
      </x:c>
      <x:c r="U162" t="str">
        <x:v>Online</x:v>
      </x:c>
    </x:row>
    <x:row r="163">
      <x:c r="A163" t="str">
        <x:v>ORD0162</x:v>
      </x:c>
      <x:c r="B163" s="20" t="n">
        <x:v>45729</x:v>
      </x:c>
      <x:c r="C163" t="str">
        <x:v>Priya Patel</x:v>
      </x:c>
      <x:c r="D163" t="str">
        <x:v>Male</x:v>
      </x:c>
      <x:c r="E163" t="str">
        <x:v>26-35</x:v>
      </x:c>
      <x:c r="F163" t="str">
        <x:v>Jaipur</x:v>
      </x:c>
      <x:c r="G163" t="str">
        <x:v>Rajasthan</x:v>
      </x:c>
      <x:c r="H163" t="str">
        <x:v>North</x:v>
      </x:c>
      <x:c r="I163" t="str">
        <x:v>Fashion</x:v>
      </x:c>
      <x:c r="J163" t="str">
        <x:v>Women</x:v>
      </x:c>
      <x:c r="K163" t="str">
        <x:v>Kurti</x:v>
      </x:c>
      <x:c r="L163" t="n">
        <x:v>3</x:v>
      </x:c>
      <x:c r="M163" s="22" t="n">
        <x:v>1890.95</x:v>
      </x:c>
      <x:c r="N163" s="24" t="n">
        <x:v>0.15</x:v>
      </x:c>
      <x:c r="O163" s="22" t="n">
        <x:v>1018.52</x:v>
      </x:c>
      <x:c r="P163" s="22" t="n">
        <x:f>L163*M163*(1-N163)</x:f>
        <x:v>4821.922500000001</x:v>
      </x:c>
      <x:c r="Q163" s="22" t="n">
        <x:f>L163*O163</x:f>
        <x:v>3055.56</x:v>
      </x:c>
      <x:c r="R163" s="22" t="n">
        <x:f>P163-Q163</x:f>
        <x:v>1766.3625000000006</x:v>
      </x:c>
      <x:c r="S163" t="str">
        <x:v>Net Banking</x:v>
      </x:c>
      <x:c r="T163" t="str">
        <x:v>Consumer</x:v>
      </x:c>
      <x:c r="U163" t="str">
        <x:v>Mobile App</x:v>
      </x:c>
    </x:row>
    <x:row r="164">
      <x:c r="A164" t="str">
        <x:v>ORD0163</x:v>
      </x:c>
      <x:c r="B164" s="20" t="n">
        <x:v>45811</x:v>
      </x:c>
      <x:c r="C164" t="str">
        <x:v>Sree Gupta</x:v>
      </x:c>
      <x:c r="D164" t="str">
        <x:v>Male</x:v>
      </x:c>
      <x:c r="E164" t="str">
        <x:v>18-25</x:v>
      </x:c>
      <x:c r="F164" t="str">
        <x:v>Lucknow</x:v>
      </x:c>
      <x:c r="G164" t="str">
        <x:v>Uttar Pradesh</x:v>
      </x:c>
      <x:c r="H164" t="str">
        <x:v>North</x:v>
      </x:c>
      <x:c r="I164" t="str">
        <x:v>Fashion</x:v>
      </x:c>
      <x:c r="J164" t="str">
        <x:v>Men</x:v>
      </x:c>
      <x:c r="K164" t="str">
        <x:v>Casual Shirt</x:v>
      </x:c>
      <x:c r="L164" t="n">
        <x:v>2</x:v>
      </x:c>
      <x:c r="M164" s="22" t="n">
        <x:v>1614.52</x:v>
      </x:c>
      <x:c r="N164" s="24" t="n">
        <x:v>0.2</x:v>
      </x:c>
      <x:c r="O164" s="22" t="n">
        <x:v>906.6</x:v>
      </x:c>
      <x:c r="P164" s="22" t="n">
        <x:f>L164*M164*(1-N164)</x:f>
        <x:v>2583.232</x:v>
      </x:c>
      <x:c r="Q164" s="22" t="n">
        <x:f>L164*O164</x:f>
        <x:v>1813.2</x:v>
      </x:c>
      <x:c r="R164" s="22" t="n">
        <x:f>P164-Q164</x:f>
        <x:v>770.0319999999999</x:v>
      </x:c>
      <x:c r="S164" t="str">
        <x:v>Debit Card</x:v>
      </x:c>
      <x:c r="T164" t="str">
        <x:v>Home Office</x:v>
      </x:c>
      <x:c r="U164" t="str">
        <x:v>Retail Store</x:v>
      </x:c>
    </x:row>
    <x:row r="165">
      <x:c r="A165" t="str">
        <x:v>ORD0164</x:v>
      </x:c>
      <x:c r="B165" s="20" t="n">
        <x:v>45853</x:v>
      </x:c>
      <x:c r="C165" t="str">
        <x:v>Rohit Patel</x:v>
      </x:c>
      <x:c r="D165" t="str">
        <x:v>Male</x:v>
      </x:c>
      <x:c r="E165" t="str">
        <x:v>26-35</x:v>
      </x:c>
      <x:c r="F165" t="str">
        <x:v>Ahmedabad</x:v>
      </x:c>
      <x:c r="G165" t="str">
        <x:v>Gujarat</x:v>
      </x:c>
      <x:c r="H165" t="str">
        <x:v>West</x:v>
      </x:c>
      <x:c r="I165" t="str">
        <x:v>Fashion</x:v>
      </x:c>
      <x:c r="J165" t="str">
        <x:v>Accessories</x:v>
      </x:c>
      <x:c r="K165" t="str">
        <x:v>Backpack</x:v>
      </x:c>
      <x:c r="L165" t="n">
        <x:v>2</x:v>
      </x:c>
      <x:c r="M165" s="22" t="n">
        <x:v>2167.71</x:v>
      </x:c>
      <x:c r="N165" s="24" t="n">
        <x:v>0.15</x:v>
      </x:c>
      <x:c r="O165" s="22" t="n">
        <x:v>1279.19</x:v>
      </x:c>
      <x:c r="P165" s="22" t="n">
        <x:f>L165*M165*(1-N165)</x:f>
        <x:v>3685.107</x:v>
      </x:c>
      <x:c r="Q165" s="22" t="n">
        <x:f>L165*O165</x:f>
        <x:v>2558.38</x:v>
      </x:c>
      <x:c r="R165" s="22" t="n">
        <x:f>P165-Q165</x:f>
        <x:v>1126.7269999999999</x:v>
      </x:c>
      <x:c r="S165" t="str">
        <x:v>Cash on Delivery</x:v>
      </x:c>
      <x:c r="T165" t="str">
        <x:v>Consumer</x:v>
      </x:c>
      <x:c r="U165" t="str">
        <x:v>Retail Store</x:v>
      </x:c>
    </x:row>
    <x:row r="166">
      <x:c r="A166" t="str">
        <x:v>ORD0165</x:v>
      </x:c>
      <x:c r="B166" s="20" t="n">
        <x:v>45869</x:v>
      </x:c>
      <x:c r="C166" t="str">
        <x:v>Aditya Verma</x:v>
      </x:c>
      <x:c r="D166" t="str">
        <x:v>Male</x:v>
      </x:c>
      <x:c r="E166" t="str">
        <x:v>18-25</x:v>
      </x:c>
      <x:c r="F166" t="str">
        <x:v>Mumbai</x:v>
      </x:c>
      <x:c r="G166" t="str">
        <x:v>Maharashtra</x:v>
      </x:c>
      <x:c r="H166" t="str">
        <x:v>West</x:v>
      </x:c>
      <x:c r="I166" t="str">
        <x:v>Beauty</x:v>
      </x:c>
      <x:c r="J166" t="str">
        <x:v>Makeup</x:v>
      </x:c>
      <x:c r="K166" t="str">
        <x:v>Makeup Kit</x:v>
      </x:c>
      <x:c r="L166" t="n">
        <x:v>3</x:v>
      </x:c>
      <x:c r="M166" s="22" t="n">
        <x:v>3014.4</x:v>
      </x:c>
      <x:c r="N166" s="24" t="n">
        <x:v>0</x:v>
      </x:c>
      <x:c r="O166" s="22" t="n">
        <x:v>1734.38</x:v>
      </x:c>
      <x:c r="P166" s="22" t="n">
        <x:f>L166*M166*(1-N166)</x:f>
        <x:v>9043.2</x:v>
      </x:c>
      <x:c r="Q166" s="22" t="n">
        <x:f>L166*O166</x:f>
        <x:v>5203.14</x:v>
      </x:c>
      <x:c r="R166" s="22" t="n">
        <x:f>P166-Q166</x:f>
        <x:v>3840.0600000000004</x:v>
      </x:c>
      <x:c r="S166" t="str">
        <x:v>Net Banking</x:v>
      </x:c>
      <x:c r="T166" t="str">
        <x:v>Home Office</x:v>
      </x:c>
      <x:c r="U166" t="str">
        <x:v>Online</x:v>
      </x:c>
    </x:row>
    <x:row r="167">
      <x:c r="A167" t="str">
        <x:v>ORD0166</x:v>
      </x:c>
      <x:c r="B167" s="20" t="n">
        <x:v>45684</x:v>
      </x:c>
      <x:c r="C167" t="str">
        <x:v>Nikhil Gupta</x:v>
      </x:c>
      <x:c r="D167" t="str">
        <x:v>Female</x:v>
      </x:c>
      <x:c r="E167" t="str">
        <x:v>46-60</x:v>
      </x:c>
      <x:c r="F167" t="str">
        <x:v>Bhubaneswar</x:v>
      </x:c>
      <x:c r="G167" t="str">
        <x:v>Odisha</x:v>
      </x:c>
      <x:c r="H167" t="str">
        <x:v>East</x:v>
      </x:c>
      <x:c r="I167" t="str">
        <x:v>Fashion</x:v>
      </x:c>
      <x:c r="J167" t="str">
        <x:v>Accessories</x:v>
      </x:c>
      <x:c r="K167" t="str">
        <x:v>Backpack</x:v>
      </x:c>
      <x:c r="L167" t="n">
        <x:v>1</x:v>
      </x:c>
      <x:c r="M167" s="22" t="n">
        <x:v>2261.13</x:v>
      </x:c>
      <x:c r="N167" s="24" t="n">
        <x:v>0</x:v>
      </x:c>
      <x:c r="O167" s="22" t="n">
        <x:v>1310.7</x:v>
      </x:c>
      <x:c r="P167" s="22" t="n">
        <x:f>L167*M167*(1-N167)</x:f>
        <x:v>2261.13</x:v>
      </x:c>
      <x:c r="Q167" s="22" t="n">
        <x:f>L167*O167</x:f>
        <x:v>1310.7</x:v>
      </x:c>
      <x:c r="R167" s="22" t="n">
        <x:f>P167-Q167</x:f>
        <x:v>950.4300000000001</x:v>
      </x:c>
      <x:c r="S167" t="str">
        <x:v>Credit Card</x:v>
      </x:c>
      <x:c r="T167" t="str">
        <x:v>Corporate</x:v>
      </x:c>
      <x:c r="U167" t="str">
        <x:v>Mobile App</x:v>
      </x:c>
    </x:row>
    <x:row r="168">
      <x:c r="A168" t="str">
        <x:v>ORD0167</x:v>
      </x:c>
      <x:c r="B168" s="20" t="n">
        <x:v>45665</x:v>
      </x:c>
      <x:c r="C168" t="str">
        <x:v>Harsha Patel</x:v>
      </x:c>
      <x:c r="D168" t="str">
        <x:v>Male</x:v>
      </x:c>
      <x:c r="E168" t="str">
        <x:v>26-35</x:v>
      </x:c>
      <x:c r="F168" t="str">
        <x:v>Kolkata</x:v>
      </x:c>
      <x:c r="G168" t="str">
        <x:v>West Bengal</x:v>
      </x:c>
      <x:c r="H168" t="str">
        <x:v>East</x:v>
      </x:c>
      <x:c r="I168" t="str">
        <x:v>Home &amp; Furniture</x:v>
      </x:c>
      <x:c r="J168" t="str">
        <x:v>Furniture</x:v>
      </x:c>
      <x:c r="K168" t="str">
        <x:v>Study Table</x:v>
      </x:c>
      <x:c r="L168" t="n">
        <x:v>4</x:v>
      </x:c>
      <x:c r="M168" s="22" t="n">
        <x:v>13424.16</x:v>
      </x:c>
      <x:c r="N168" s="24" t="n">
        <x:v>0</x:v>
      </x:c>
      <x:c r="O168" s="22" t="n">
        <x:v>8530.59</x:v>
      </x:c>
      <x:c r="P168" s="22" t="n">
        <x:f>L168*M168*(1-N168)</x:f>
        <x:v>53696.64</x:v>
      </x:c>
      <x:c r="Q168" s="22" t="n">
        <x:f>L168*O168</x:f>
        <x:v>34122.36</x:v>
      </x:c>
      <x:c r="R168" s="22" t="n">
        <x:f>P168-Q168</x:f>
        <x:v>19574.28</x:v>
      </x:c>
      <x:c r="S168" t="str">
        <x:v>Net Banking</x:v>
      </x:c>
      <x:c r="T168" t="str">
        <x:v>Corporate</x:v>
      </x:c>
      <x:c r="U168" t="str">
        <x:v>Mobile App</x:v>
      </x:c>
    </x:row>
    <x:row r="169">
      <x:c r="A169" t="str">
        <x:v>ORD0168</x:v>
      </x:c>
      <x:c r="B169" s="20" t="n">
        <x:v>45852</x:v>
      </x:c>
      <x:c r="C169" t="str">
        <x:v>Pooja Reddy</x:v>
      </x:c>
      <x:c r="D169" t="str">
        <x:v>Male</x:v>
      </x:c>
      <x:c r="E169" t="str">
        <x:v>36-45</x:v>
      </x:c>
      <x:c r="F169" t="str">
        <x:v>Ahmedabad</x:v>
      </x:c>
      <x:c r="G169" t="str">
        <x:v>Gujarat</x:v>
      </x:c>
      <x:c r="H169" t="str">
        <x:v>West</x:v>
      </x:c>
      <x:c r="I169" t="str">
        <x:v>Beauty</x:v>
      </x:c>
      <x:c r="J169" t="str">
        <x:v>Makeup</x:v>
      </x:c>
      <x:c r="K169" t="str">
        <x:v>Makeup Kit</x:v>
      </x:c>
      <x:c r="L169" t="n">
        <x:v>3</x:v>
      </x:c>
      <x:c r="M169" s="22" t="n">
        <x:v>3071.39</x:v>
      </x:c>
      <x:c r="N169" s="24" t="n">
        <x:v>0.15</x:v>
      </x:c>
      <x:c r="O169" s="22" t="n">
        <x:v>1723.18</x:v>
      </x:c>
      <x:c r="P169" s="22" t="n">
        <x:f>L169*M169*(1-N169)</x:f>
        <x:v>7832.0445</x:v>
      </x:c>
      <x:c r="Q169" s="22" t="n">
        <x:f>L169*O169</x:f>
        <x:v>5169.54</x:v>
      </x:c>
      <x:c r="R169" s="22" t="n">
        <x:f>P169-Q169</x:f>
        <x:v>2662.5045</x:v>
      </x:c>
      <x:c r="S169" t="str">
        <x:v>Credit Card</x:v>
      </x:c>
      <x:c r="T169" t="str">
        <x:v>Corporate</x:v>
      </x:c>
      <x:c r="U169" t="str">
        <x:v>Mobile App</x:v>
      </x:c>
    </x:row>
    <x:row r="170">
      <x:c r="A170" t="str">
        <x:v>ORD0169</x:v>
      </x:c>
      <x:c r="B170" s="20" t="n">
        <x:v>45869</x:v>
      </x:c>
      <x:c r="C170" t="str">
        <x:v>Sree Kumar</x:v>
      </x:c>
      <x:c r="D170" t="str">
        <x:v>Female</x:v>
      </x:c>
      <x:c r="E170" t="str">
        <x:v>26-35</x:v>
      </x:c>
      <x:c r="F170" t="str">
        <x:v>Jaipur</x:v>
      </x:c>
      <x:c r="G170" t="str">
        <x:v>Rajasthan</x:v>
      </x:c>
      <x:c r="H170" t="str">
        <x:v>North</x:v>
      </x:c>
      <x:c r="I170" t="str">
        <x:v>Electronics</x:v>
      </x:c>
      <x:c r="J170" t="str">
        <x:v>Smartphone</x:v>
      </x:c>
      <x:c r="K170" t="str">
        <x:v>Nova X</x:v>
      </x:c>
      <x:c r="L170" t="n">
        <x:v>5</x:v>
      </x:c>
      <x:c r="M170" s="22" t="n">
        <x:v>33235.21</x:v>
      </x:c>
      <x:c r="N170" s="24" t="n">
        <x:v>0.15</x:v>
      </x:c>
      <x:c r="O170" s="22" t="n">
        <x:v>23551.79</x:v>
      </x:c>
      <x:c r="P170" s="22" t="n">
        <x:f>L170*M170*(1-N170)</x:f>
        <x:v>141249.6425</x:v>
      </x:c>
      <x:c r="Q170" s="22" t="n">
        <x:f>L170*O170</x:f>
        <x:v>117758.95000000001</x:v>
      </x:c>
      <x:c r="R170" s="22" t="n">
        <x:f>P170-Q170</x:f>
        <x:v>23490.692499999976</x:v>
      </x:c>
      <x:c r="S170" t="str">
        <x:v>Debit Card</x:v>
      </x:c>
      <x:c r="T170" t="str">
        <x:v>Consumer</x:v>
      </x:c>
      <x:c r="U170" t="str">
        <x:v>Mobile App</x:v>
      </x:c>
    </x:row>
    <x:row r="171">
      <x:c r="A171" t="str">
        <x:v>ORD0170</x:v>
      </x:c>
      <x:c r="B171" s="20" t="n">
        <x:v>45949</x:v>
      </x:c>
      <x:c r="C171" t="str">
        <x:v>Sneha Verma</x:v>
      </x:c>
      <x:c r="D171" t="str">
        <x:v>Male</x:v>
      </x:c>
      <x:c r="E171" t="str">
        <x:v>26-35</x:v>
      </x:c>
      <x:c r="F171" t="str">
        <x:v>Bhubaneswar</x:v>
      </x:c>
      <x:c r="G171" t="str">
        <x:v>Odisha</x:v>
      </x:c>
      <x:c r="H171" t="str">
        <x:v>East</x:v>
      </x:c>
      <x:c r="I171" t="str">
        <x:v>Home &amp; Furniture</x:v>
      </x:c>
      <x:c r="J171" t="str">
        <x:v>Appliances</x:v>
      </x:c>
      <x:c r="K171" t="str">
        <x:v>Air Fryer</x:v>
      </x:c>
      <x:c r="L171" t="n">
        <x:v>3</x:v>
      </x:c>
      <x:c r="M171" s="22" t="n">
        <x:v>7560.77</x:v>
      </x:c>
      <x:c r="N171" s="24" t="n">
        <x:v>0.05</x:v>
      </x:c>
      <x:c r="O171" s="22" t="n">
        <x:v>5280.93</x:v>
      </x:c>
      <x:c r="P171" s="22" t="n">
        <x:f>L171*M171*(1-N171)</x:f>
        <x:v>21548.1945</x:v>
      </x:c>
      <x:c r="Q171" s="22" t="n">
        <x:f>L171*O171</x:f>
        <x:v>15842.79</x:v>
      </x:c>
      <x:c r="R171" s="22" t="n">
        <x:f>P171-Q171</x:f>
        <x:v>5705.404500000001</x:v>
      </x:c>
      <x:c r="S171" t="str">
        <x:v>Debit Card</x:v>
      </x:c>
      <x:c r="T171" t="str">
        <x:v>Consumer</x:v>
      </x:c>
      <x:c r="U171" t="str">
        <x:v>Online</x:v>
      </x:c>
    </x:row>
    <x:row r="172">
      <x:c r="A172" t="str">
        <x:v>ORD0171</x:v>
      </x:c>
      <x:c r="B172" s="20" t="n">
        <x:v>45937</x:v>
      </x:c>
      <x:c r="C172" t="str">
        <x:v>Aditya Sharma</x:v>
      </x:c>
      <x:c r="D172" t="str">
        <x:v>Female</x:v>
      </x:c>
      <x:c r="E172" t="str">
        <x:v>46-60</x:v>
      </x:c>
      <x:c r="F172" t="str">
        <x:v>Hyderabad</x:v>
      </x:c>
      <x:c r="G172" t="str">
        <x:v>Telangana</x:v>
      </x:c>
      <x:c r="H172" t="str">
        <x:v>South</x:v>
      </x:c>
      <x:c r="I172" t="str">
        <x:v>Beauty</x:v>
      </x:c>
      <x:c r="J172" t="str">
        <x:v>Skincare</x:v>
      </x:c>
      <x:c r="K172" t="str">
        <x:v>Face Serum</x:v>
      </x:c>
      <x:c r="L172" t="n">
        <x:v>1</x:v>
      </x:c>
      <x:c r="M172" s="22" t="n">
        <x:v>1173.37</x:v>
      </x:c>
      <x:c r="N172" s="24" t="n">
        <x:v>0.15</x:v>
      </x:c>
      <x:c r="O172" s="22" t="n">
        <x:v>602.02</x:v>
      </x:c>
      <x:c r="P172" s="22" t="n">
        <x:f>L172*M172*(1-N172)</x:f>
        <x:v>997.3644999999999</x:v>
      </x:c>
      <x:c r="Q172" s="22" t="n">
        <x:f>L172*O172</x:f>
        <x:v>602.02</x:v>
      </x:c>
      <x:c r="R172" s="22" t="n">
        <x:f>P172-Q172</x:f>
        <x:v>395.3444999999999</x:v>
      </x:c>
      <x:c r="S172" t="str">
        <x:v>Credit Card</x:v>
      </x:c>
      <x:c r="T172" t="str">
        <x:v>Home Office</x:v>
      </x:c>
      <x:c r="U172" t="str">
        <x:v>Online</x:v>
      </x:c>
    </x:row>
    <x:row r="173">
      <x:c r="A173" t="str">
        <x:v>ORD0172</x:v>
      </x:c>
      <x:c r="B173" s="20" t="n">
        <x:v>45692</x:v>
      </x:c>
      <x:c r="C173" t="str">
        <x:v>Harsha Verma</x:v>
      </x:c>
      <x:c r="D173" t="str">
        <x:v>Male</x:v>
      </x:c>
      <x:c r="E173" t="str">
        <x:v>18-25</x:v>
      </x:c>
      <x:c r="F173" t="str">
        <x:v>Lucknow</x:v>
      </x:c>
      <x:c r="G173" t="str">
        <x:v>Uttar Pradesh</x:v>
      </x:c>
      <x:c r="H173" t="str">
        <x:v>North</x:v>
      </x:c>
      <x:c r="I173" t="str">
        <x:v>Home &amp; Furniture</x:v>
      </x:c>
      <x:c r="J173" t="str">
        <x:v>Furniture</x:v>
      </x:c>
      <x:c r="K173" t="str">
        <x:v>Office Chair</x:v>
      </x:c>
      <x:c r="L173" t="n">
        <x:v>1</x:v>
      </x:c>
      <x:c r="M173" s="22" t="n">
        <x:v>8594.96</x:v>
      </x:c>
      <x:c r="N173" s="24" t="n">
        <x:v>0.15</x:v>
      </x:c>
      <x:c r="O173" s="22" t="n">
        <x:v>6178.18</x:v>
      </x:c>
      <x:c r="P173" s="22" t="n">
        <x:f>L173*M173*(1-N173)</x:f>
        <x:v>7305.715999999999</x:v>
      </x:c>
      <x:c r="Q173" s="22" t="n">
        <x:f>L173*O173</x:f>
        <x:v>6178.18</x:v>
      </x:c>
      <x:c r="R173" s="22" t="n">
        <x:f>P173-Q173</x:f>
        <x:v>1127.5359999999991</x:v>
      </x:c>
      <x:c r="S173" t="str">
        <x:v>UPI</x:v>
      </x:c>
      <x:c r="T173" t="str">
        <x:v>Home Office</x:v>
      </x:c>
      <x:c r="U173" t="str">
        <x:v>Retail Store</x:v>
      </x:c>
    </x:row>
    <x:row r="174">
      <x:c r="A174" t="str">
        <x:v>ORD0173</x:v>
      </x:c>
      <x:c r="B174" s="20" t="n">
        <x:v>45868</x:v>
      </x:c>
      <x:c r="C174" t="str">
        <x:v>Sree Rao</x:v>
      </x:c>
      <x:c r="D174" t="str">
        <x:v>Female</x:v>
      </x:c>
      <x:c r="E174" t="str">
        <x:v>18-25</x:v>
      </x:c>
      <x:c r="F174" t="str">
        <x:v>Delhi</x:v>
      </x:c>
      <x:c r="G174" t="str">
        <x:v>Delhi</x:v>
      </x:c>
      <x:c r="H174" t="str">
        <x:v>North</x:v>
      </x:c>
      <x:c r="I174" t="str">
        <x:v>Electronics</x:v>
      </x:c>
      <x:c r="J174" t="str">
        <x:v>Laptop</x:v>
      </x:c>
      <x:c r="K174" t="str">
        <x:v>AeroBook 14</x:v>
      </x:c>
      <x:c r="L174" t="n">
        <x:v>3</x:v>
      </x:c>
      <x:c r="M174" s="22" t="n">
        <x:v>62291.82</x:v>
      </x:c>
      <x:c r="N174" s="24" t="n">
        <x:v>0</x:v>
      </x:c>
      <x:c r="O174" s="22" t="n">
        <x:v>49098.96</x:v>
      </x:c>
      <x:c r="P174" s="22" t="n">
        <x:f>L174*M174*(1-N174)</x:f>
        <x:v>186875.46</x:v>
      </x:c>
      <x:c r="Q174" s="22" t="n">
        <x:f>L174*O174</x:f>
        <x:v>147296.88</x:v>
      </x:c>
      <x:c r="R174" s="22" t="n">
        <x:f>P174-Q174</x:f>
        <x:v>39578.57999999999</x:v>
      </x:c>
      <x:c r="S174" t="str">
        <x:v>Net Banking</x:v>
      </x:c>
      <x:c r="T174" t="str">
        <x:v>Consumer</x:v>
      </x:c>
      <x:c r="U174" t="str">
        <x:v>Online</x:v>
      </x:c>
    </x:row>
    <x:row r="175">
      <x:c r="A175" t="str">
        <x:v>ORD0174</x:v>
      </x:c>
      <x:c r="B175" s="20" t="n">
        <x:v>45756</x:v>
      </x:c>
      <x:c r="C175" t="str">
        <x:v>Nikhil Patel</x:v>
      </x:c>
      <x:c r="D175" t="str">
        <x:v>Female</x:v>
      </x:c>
      <x:c r="E175" t="str">
        <x:v>36-45</x:v>
      </x:c>
      <x:c r="F175" t="str">
        <x:v>Ahmedabad</x:v>
      </x:c>
      <x:c r="G175" t="str">
        <x:v>Gujarat</x:v>
      </x:c>
      <x:c r="H175" t="str">
        <x:v>West</x:v>
      </x:c>
      <x:c r="I175" t="str">
        <x:v>Fashion</x:v>
      </x:c>
      <x:c r="J175" t="str">
        <x:v>Footwear</x:v>
      </x:c>
      <x:c r="K175" t="str">
        <x:v>Running Shoes</x:v>
      </x:c>
      <x:c r="L175" t="n">
        <x:v>3</x:v>
      </x:c>
      <x:c r="M175" s="22" t="n">
        <x:v>3369.7</x:v>
      </x:c>
      <x:c r="N175" s="24" t="n">
        <x:v>0.1</x:v>
      </x:c>
      <x:c r="O175" s="22" t="n">
        <x:v>2181.85</x:v>
      </x:c>
      <x:c r="P175" s="22" t="n">
        <x:f>L175*M175*(1-N175)</x:f>
        <x:v>9098.189999999999</x:v>
      </x:c>
      <x:c r="Q175" s="22" t="n">
        <x:f>L175*O175</x:f>
        <x:v>6545.549999999999</x:v>
      </x:c>
      <x:c r="R175" s="22" t="n">
        <x:f>P175-Q175</x:f>
        <x:v>2552.6399999999994</x:v>
      </x:c>
      <x:c r="S175" t="str">
        <x:v>UPI</x:v>
      </x:c>
      <x:c r="T175" t="str">
        <x:v>Home Office</x:v>
      </x:c>
      <x:c r="U175" t="str">
        <x:v>Retail Store</x:v>
      </x:c>
    </x:row>
    <x:row r="176">
      <x:c r="A176" t="str">
        <x:v>ORD0175</x:v>
      </x:c>
      <x:c r="B176" s="20" t="n">
        <x:v>45674</x:v>
      </x:c>
      <x:c r="C176" t="str">
        <x:v>Rahul Reddy</x:v>
      </x:c>
      <x:c r="D176" t="str">
        <x:v>Male</x:v>
      </x:c>
      <x:c r="E176" t="str">
        <x:v>46-60</x:v>
      </x:c>
      <x:c r="F176" t="str">
        <x:v>Hyderabad</x:v>
      </x:c>
      <x:c r="G176" t="str">
        <x:v>Telangana</x:v>
      </x:c>
      <x:c r="H176" t="str">
        <x:v>South</x:v>
      </x:c>
      <x:c r="I176" t="str">
        <x:v>Electronics</x:v>
      </x:c>
      <x:c r="J176" t="str">
        <x:v>Smartwatch</x:v>
      </x:c>
      <x:c r="K176" t="str">
        <x:v>FitTime S2</x:v>
      </x:c>
      <x:c r="L176" t="n">
        <x:v>1</x:v>
      </x:c>
      <x:c r="M176" s="22" t="n">
        <x:v>7845.46</x:v>
      </x:c>
      <x:c r="N176" s="24" t="n">
        <x:v>0.2</x:v>
      </x:c>
      <x:c r="O176" s="22" t="n">
        <x:v>5623.61</x:v>
      </x:c>
      <x:c r="P176" s="22" t="n">
        <x:f>L176*M176*(1-N176)</x:f>
        <x:v>6276.368</x:v>
      </x:c>
      <x:c r="Q176" s="22" t="n">
        <x:f>L176*O176</x:f>
        <x:v>5623.61</x:v>
      </x:c>
      <x:c r="R176" s="22" t="n">
        <x:f>P176-Q176</x:f>
        <x:v>652.7580000000007</x:v>
      </x:c>
      <x:c r="S176" t="str">
        <x:v>Debit Card</x:v>
      </x:c>
      <x:c r="T176" t="str">
        <x:v>Home Office</x:v>
      </x:c>
      <x:c r="U176" t="str">
        <x:v>Online</x:v>
      </x:c>
    </x:row>
    <x:row r="177">
      <x:c r="A177" t="str">
        <x:v>ORD0176</x:v>
      </x:c>
      <x:c r="B177" s="20" t="n">
        <x:v>45928</x:v>
      </x:c>
      <x:c r="C177" t="str">
        <x:v>Vivaan Reddy</x:v>
      </x:c>
      <x:c r="D177" t="str">
        <x:v>Male</x:v>
      </x:c>
      <x:c r="E177" t="str">
        <x:v>18-25</x:v>
      </x:c>
      <x:c r="F177" t="str">
        <x:v>Chennai</x:v>
      </x:c>
      <x:c r="G177" t="str">
        <x:v>Tamil Nadu</x:v>
      </x:c>
      <x:c r="H177" t="str">
        <x:v>South</x:v>
      </x:c>
      <x:c r="I177" t="str">
        <x:v>Electronics</x:v>
      </x:c>
      <x:c r="J177" t="str">
        <x:v>Smartphone</x:v>
      </x:c>
      <x:c r="K177" t="str">
        <x:v>Nova X</x:v>
      </x:c>
      <x:c r="L177" t="n">
        <x:v>5</x:v>
      </x:c>
      <x:c r="M177" s="22" t="n">
        <x:v>30522.46</x:v>
      </x:c>
      <x:c r="N177" s="24" t="n">
        <x:v>0.1</x:v>
      </x:c>
      <x:c r="O177" s="22" t="n">
        <x:v>25221.51</x:v>
      </x:c>
      <x:c r="P177" s="22" t="n">
        <x:f>L177*M177*(1-N177)</x:f>
        <x:v>137351.07</x:v>
      </x:c>
      <x:c r="Q177" s="22" t="n">
        <x:f>L177*O177</x:f>
        <x:v>126107.54999999999</x:v>
      </x:c>
      <x:c r="R177" s="22" t="n">
        <x:f>P177-Q177</x:f>
        <x:v>11243.520000000019</x:v>
      </x:c>
      <x:c r="S177" t="str">
        <x:v>Credit Card</x:v>
      </x:c>
      <x:c r="T177" t="str">
        <x:v>Corporate</x:v>
      </x:c>
      <x:c r="U177" t="str">
        <x:v>Online</x:v>
      </x:c>
    </x:row>
    <x:row r="178">
      <x:c r="A178" t="str">
        <x:v>ORD0177</x:v>
      </x:c>
      <x:c r="B178" s="20" t="n">
        <x:v>45764</x:v>
      </x:c>
      <x:c r="C178" t="str">
        <x:v>Divya Gupta</x:v>
      </x:c>
      <x:c r="D178" t="str">
        <x:v>Male</x:v>
      </x:c>
      <x:c r="E178" t="str">
        <x:v>46-60</x:v>
      </x:c>
      <x:c r="F178" t="str">
        <x:v>Jaipur</x:v>
      </x:c>
      <x:c r="G178" t="str">
        <x:v>Rajasthan</x:v>
      </x:c>
      <x:c r="H178" t="str">
        <x:v>North</x:v>
      </x:c>
      <x:c r="I178" t="str">
        <x:v>Home &amp; Furniture</x:v>
      </x:c>
      <x:c r="J178" t="str">
        <x:v>Appliances</x:v>
      </x:c>
      <x:c r="K178" t="str">
        <x:v>Air Fryer</x:v>
      </x:c>
      <x:c r="L178" t="n">
        <x:v>5</x:v>
      </x:c>
      <x:c r="M178" s="22" t="n">
        <x:v>8014.65</x:v>
      </x:c>
      <x:c r="N178" s="24" t="n">
        <x:v>0</x:v>
      </x:c>
      <x:c r="O178" s="22" t="n">
        <x:v>5018.1</x:v>
      </x:c>
      <x:c r="P178" s="22" t="n">
        <x:f>L178*M178*(1-N178)</x:f>
        <x:v>40073.25</x:v>
      </x:c>
      <x:c r="Q178" s="22" t="n">
        <x:f>L178*O178</x:f>
        <x:v>25090.5</x:v>
      </x:c>
      <x:c r="R178" s="22" t="n">
        <x:f>P178-Q178</x:f>
        <x:v>14982.75</x:v>
      </x:c>
      <x:c r="S178" t="str">
        <x:v>Credit Card</x:v>
      </x:c>
      <x:c r="T178" t="str">
        <x:v>Home Office</x:v>
      </x:c>
      <x:c r="U178" t="str">
        <x:v>Retail Store</x:v>
      </x:c>
    </x:row>
    <x:row r="179">
      <x:c r="A179" t="str">
        <x:v>ORD0178</x:v>
      </x:c>
      <x:c r="B179" s="20" t="n">
        <x:v>45698</x:v>
      </x:c>
      <x:c r="C179" t="str">
        <x:v>Harsha Das</x:v>
      </x:c>
      <x:c r="D179" t="str">
        <x:v>Male</x:v>
      </x:c>
      <x:c r="E179" t="str">
        <x:v>36-45</x:v>
      </x:c>
      <x:c r="F179" t="str">
        <x:v>Jaipur</x:v>
      </x:c>
      <x:c r="G179" t="str">
        <x:v>Rajasthan</x:v>
      </x:c>
      <x:c r="H179" t="str">
        <x:v>North</x:v>
      </x:c>
      <x:c r="I179" t="str">
        <x:v>Fashion</x:v>
      </x:c>
      <x:c r="J179" t="str">
        <x:v>Men</x:v>
      </x:c>
      <x:c r="K179" t="str">
        <x:v>Casual Shirt</x:v>
      </x:c>
      <x:c r="L179" t="n">
        <x:v>1</x:v>
      </x:c>
      <x:c r="M179" s="22" t="n">
        <x:v>1497.01</x:v>
      </x:c>
      <x:c r="N179" s="24" t="n">
        <x:v>0.05</x:v>
      </x:c>
      <x:c r="O179" s="22" t="n">
        <x:v>880.71</x:v>
      </x:c>
      <x:c r="P179" s="22" t="n">
        <x:f>L179*M179*(1-N179)</x:f>
        <x:v>1422.1595</x:v>
      </x:c>
      <x:c r="Q179" s="22" t="n">
        <x:f>L179*O179</x:f>
        <x:v>880.71</x:v>
      </x:c>
      <x:c r="R179" s="22" t="n">
        <x:f>P179-Q179</x:f>
        <x:v>541.4495</x:v>
      </x:c>
      <x:c r="S179" t="str">
        <x:v>UPI</x:v>
      </x:c>
      <x:c r="T179" t="str">
        <x:v>Home Office</x:v>
      </x:c>
      <x:c r="U179" t="str">
        <x:v>Mobile App</x:v>
      </x:c>
    </x:row>
    <x:row r="180">
      <x:c r="A180" t="str">
        <x:v>ORD0179</x:v>
      </x:c>
      <x:c r="B180" s="20" t="n">
        <x:v>45888</x:v>
      </x:c>
      <x:c r="C180" t="str">
        <x:v>Nikhil Naidu</x:v>
      </x:c>
      <x:c r="D180" t="str">
        <x:v>Female</x:v>
      </x:c>
      <x:c r="E180" t="str">
        <x:v>36-45</x:v>
      </x:c>
      <x:c r="F180" t="str">
        <x:v>Lucknow</x:v>
      </x:c>
      <x:c r="G180" t="str">
        <x:v>Uttar Pradesh</x:v>
      </x:c>
      <x:c r="H180" t="str">
        <x:v>North</x:v>
      </x:c>
      <x:c r="I180" t="str">
        <x:v>Beauty</x:v>
      </x:c>
      <x:c r="J180" t="str">
        <x:v>Skincare</x:v>
      </x:c>
      <x:c r="K180" t="str">
        <x:v>Face Serum</x:v>
      </x:c>
      <x:c r="L180" t="n">
        <x:v>4</x:v>
      </x:c>
      <x:c r="M180" s="22" t="n">
        <x:v>1074.62</x:v>
      </x:c>
      <x:c r="N180" s="24" t="n">
        <x:v>0</x:v>
      </x:c>
      <x:c r="O180" s="22" t="n">
        <x:v>621.17</x:v>
      </x:c>
      <x:c r="P180" s="22" t="n">
        <x:f>L180*M180*(1-N180)</x:f>
        <x:v>4298.48</x:v>
      </x:c>
      <x:c r="Q180" s="22" t="n">
        <x:f>L180*O180</x:f>
        <x:v>2484.68</x:v>
      </x:c>
      <x:c r="R180" s="22" t="n">
        <x:f>P180-Q180</x:f>
        <x:v>1813.7999999999997</x:v>
      </x:c>
      <x:c r="S180" t="str">
        <x:v>Credit Card</x:v>
      </x:c>
      <x:c r="T180" t="str">
        <x:v>Home Office</x:v>
      </x:c>
      <x:c r="U180" t="str">
        <x:v>Online</x:v>
      </x:c>
    </x:row>
    <x:row r="181">
      <x:c r="A181" t="str">
        <x:v>ORD0180</x:v>
      </x:c>
      <x:c r="B181" s="20" t="n">
        <x:v>45700</x:v>
      </x:c>
      <x:c r="C181" t="str">
        <x:v>Priya Singh</x:v>
      </x:c>
      <x:c r="D181" t="str">
        <x:v>Female</x:v>
      </x:c>
      <x:c r="E181" t="str">
        <x:v>18-25</x:v>
      </x:c>
      <x:c r="F181" t="str">
        <x:v>Pune</x:v>
      </x:c>
      <x:c r="G181" t="str">
        <x:v>Maharashtra</x:v>
      </x:c>
      <x:c r="H181" t="str">
        <x:v>West</x:v>
      </x:c>
      <x:c r="I181" t="str">
        <x:v>Fashion</x:v>
      </x:c>
      <x:c r="J181" t="str">
        <x:v>Women</x:v>
      </x:c>
      <x:c r="K181" t="str">
        <x:v>Kurti</x:v>
      </x:c>
      <x:c r="L181" t="n">
        <x:v>2</x:v>
      </x:c>
      <x:c r="M181" s="22" t="n">
        <x:v>1765.44</x:v>
      </x:c>
      <x:c r="N181" s="24" t="n">
        <x:v>0.2</x:v>
      </x:c>
      <x:c r="O181" s="22" t="n">
        <x:v>1022.71</x:v>
      </x:c>
      <x:c r="P181" s="22" t="n">
        <x:f>L181*M181*(1-N181)</x:f>
        <x:v>2824.704</x:v>
      </x:c>
      <x:c r="Q181" s="22" t="n">
        <x:f>L181*O181</x:f>
        <x:v>2045.42</x:v>
      </x:c>
      <x:c r="R181" s="22" t="n">
        <x:f>P181-Q181</x:f>
        <x:v>779.2840000000001</x:v>
      </x:c>
      <x:c r="S181" t="str">
        <x:v>UPI</x:v>
      </x:c>
      <x:c r="T181" t="str">
        <x:v>Corporate</x:v>
      </x:c>
      <x:c r="U181" t="str">
        <x:v>Mobile App</x:v>
      </x:c>
    </x:row>
    <x:row r="182">
      <x:c r="A182" t="str">
        <x:v>ORD0181</x:v>
      </x:c>
      <x:c r="B182" s="20" t="n">
        <x:v>45842</x:v>
      </x:c>
      <x:c r="C182" t="str">
        <x:v>Meena Naidu</x:v>
      </x:c>
      <x:c r="D182" t="str">
        <x:v>Female</x:v>
      </x:c>
      <x:c r="E182" t="str">
        <x:v>18-25</x:v>
      </x:c>
      <x:c r="F182" t="str">
        <x:v>Delhi</x:v>
      </x:c>
      <x:c r="G182" t="str">
        <x:v>Delhi</x:v>
      </x:c>
      <x:c r="H182" t="str">
        <x:v>North</x:v>
      </x:c>
      <x:c r="I182" t="str">
        <x:v>Fashion</x:v>
      </x:c>
      <x:c r="J182" t="str">
        <x:v>Men</x:v>
      </x:c>
      <x:c r="K182" t="str">
        <x:v>Casual Shirt</x:v>
      </x:c>
      <x:c r="L182" t="n">
        <x:v>4</x:v>
      </x:c>
      <x:c r="M182" s="22" t="n">
        <x:v>1505.92</x:v>
      </x:c>
      <x:c r="N182" s="24" t="n">
        <x:v>0.15</x:v>
      </x:c>
      <x:c r="O182" s="22" t="n">
        <x:v>877.49</x:v>
      </x:c>
      <x:c r="P182" s="22" t="n">
        <x:f>L182*M182*(1-N182)</x:f>
        <x:v>5120.128</x:v>
      </x:c>
      <x:c r="Q182" s="22" t="n">
        <x:f>L182*O182</x:f>
        <x:v>3509.96</x:v>
      </x:c>
      <x:c r="R182" s="22" t="n">
        <x:f>P182-Q182</x:f>
        <x:v>1610.1679999999997</x:v>
      </x:c>
      <x:c r="S182" t="str">
        <x:v>UPI</x:v>
      </x:c>
      <x:c r="T182" t="str">
        <x:v>Corporate</x:v>
      </x:c>
      <x:c r="U182" t="str">
        <x:v>Retail Store</x:v>
      </x:c>
    </x:row>
    <x:row r="183">
      <x:c r="A183" t="str">
        <x:v>ORD0182</x:v>
      </x:c>
      <x:c r="B183" s="20" t="n">
        <x:v>45705</x:v>
      </x:c>
      <x:c r="C183" t="str">
        <x:v>Rohit Das</x:v>
      </x:c>
      <x:c r="D183" t="str">
        <x:v>Female</x:v>
      </x:c>
      <x:c r="E183" t="str">
        <x:v>46-60</x:v>
      </x:c>
      <x:c r="F183" t="str">
        <x:v>Delhi</x:v>
      </x:c>
      <x:c r="G183" t="str">
        <x:v>Delhi</x:v>
      </x:c>
      <x:c r="H183" t="str">
        <x:v>North</x:v>
      </x:c>
      <x:c r="I183" t="str">
        <x:v>Fashion</x:v>
      </x:c>
      <x:c r="J183" t="str">
        <x:v>Accessories</x:v>
      </x:c>
      <x:c r="K183" t="str">
        <x:v>Backpack</x:v>
      </x:c>
      <x:c r="L183" t="n">
        <x:v>1</x:v>
      </x:c>
      <x:c r="M183" s="22" t="n">
        <x:v>2028.34</x:v>
      </x:c>
      <x:c r="N183" s="24" t="n">
        <x:v>0.2</x:v>
      </x:c>
      <x:c r="O183" s="22" t="n">
        <x:v>1291.04</x:v>
      </x:c>
      <x:c r="P183" s="22" t="n">
        <x:f>L183*M183*(1-N183)</x:f>
        <x:v>1622.672</x:v>
      </x:c>
      <x:c r="Q183" s="22" t="n">
        <x:f>L183*O183</x:f>
        <x:v>1291.04</x:v>
      </x:c>
      <x:c r="R183" s="22" t="n">
        <x:f>P183-Q183</x:f>
        <x:v>331.63200000000006</x:v>
      </x:c>
      <x:c r="S183" t="str">
        <x:v>Credit Card</x:v>
      </x:c>
      <x:c r="T183" t="str">
        <x:v>Consumer</x:v>
      </x:c>
      <x:c r="U183" t="str">
        <x:v>Mobile App</x:v>
      </x:c>
    </x:row>
    <x:row r="184">
      <x:c r="A184" t="str">
        <x:v>ORD0183</x:v>
      </x:c>
      <x:c r="B184" s="20" t="n">
        <x:v>45812</x:v>
      </x:c>
      <x:c r="C184" t="str">
        <x:v>Sneha Reddy</x:v>
      </x:c>
      <x:c r="D184" t="str">
        <x:v>Male</x:v>
      </x:c>
      <x:c r="E184" t="str">
        <x:v>36-45</x:v>
      </x:c>
      <x:c r="F184" t="str">
        <x:v>Chennai</x:v>
      </x:c>
      <x:c r="G184" t="str">
        <x:v>Tamil Nadu</x:v>
      </x:c>
      <x:c r="H184" t="str">
        <x:v>South</x:v>
      </x:c>
      <x:c r="I184" t="str">
        <x:v>Fashion</x:v>
      </x:c>
      <x:c r="J184" t="str">
        <x:v>Accessories</x:v>
      </x:c>
      <x:c r="K184" t="str">
        <x:v>Backpack</x:v>
      </x:c>
      <x:c r="L184" t="n">
        <x:v>3</x:v>
      </x:c>
      <x:c r="M184" s="22" t="n">
        <x:v>2075.37</x:v>
      </x:c>
      <x:c r="N184" s="24" t="n">
        <x:v>0.1</x:v>
      </x:c>
      <x:c r="O184" s="22" t="n">
        <x:v>1265.39</x:v>
      </x:c>
      <x:c r="P184" s="22" t="n">
        <x:f>L184*M184*(1-N184)</x:f>
        <x:v>5603.499</x:v>
      </x:c>
      <x:c r="Q184" s="22" t="n">
        <x:f>L184*O184</x:f>
        <x:v>3796.17</x:v>
      </x:c>
      <x:c r="R184" s="22" t="n">
        <x:f>P184-Q184</x:f>
        <x:v>1807.3289999999997</x:v>
      </x:c>
      <x:c r="S184" t="str">
        <x:v>Credit Card</x:v>
      </x:c>
      <x:c r="T184" t="str">
        <x:v>Home Office</x:v>
      </x:c>
      <x:c r="U184" t="str">
        <x:v>Retail Store</x:v>
      </x:c>
    </x:row>
    <x:row r="185">
      <x:c r="A185" t="str">
        <x:v>ORD0184</x:v>
      </x:c>
      <x:c r="B185" s="20" t="n">
        <x:v>45911</x:v>
      </x:c>
      <x:c r="C185" t="str">
        <x:v>Divya Singh</x:v>
      </x:c>
      <x:c r="D185" t="str">
        <x:v>Male</x:v>
      </x:c>
      <x:c r="E185" t="str">
        <x:v>36-45</x:v>
      </x:c>
      <x:c r="F185" t="str">
        <x:v>Jaipur</x:v>
      </x:c>
      <x:c r="G185" t="str">
        <x:v>Rajasthan</x:v>
      </x:c>
      <x:c r="H185" t="str">
        <x:v>North</x:v>
      </x:c>
      <x:c r="I185" t="str">
        <x:v>Home &amp; Furniture</x:v>
      </x:c>
      <x:c r="J185" t="str">
        <x:v>Appliances</x:v>
      </x:c>
      <x:c r="K185" t="str">
        <x:v>Air Fryer</x:v>
      </x:c>
      <x:c r="L185" t="n">
        <x:v>4</x:v>
      </x:c>
      <x:c r="M185" s="22" t="n">
        <x:v>7028.37</x:v>
      </x:c>
      <x:c r="N185" s="24" t="n">
        <x:v>0.05</x:v>
      </x:c>
      <x:c r="O185" s="22" t="n">
        <x:v>5020.3</x:v>
      </x:c>
      <x:c r="P185" s="22" t="n">
        <x:f>L185*M185*(1-N185)</x:f>
        <x:v>26707.805999999997</x:v>
      </x:c>
      <x:c r="Q185" s="22" t="n">
        <x:f>L185*O185</x:f>
        <x:v>20081.2</x:v>
      </x:c>
      <x:c r="R185" s="22" t="n">
        <x:f>P185-Q185</x:f>
        <x:v>6626.605999999996</x:v>
      </x:c>
      <x:c r="S185" t="str">
        <x:v>Cash on Delivery</x:v>
      </x:c>
      <x:c r="T185" t="str">
        <x:v>Home Office</x:v>
      </x:c>
      <x:c r="U185" t="str">
        <x:v>Retail Store</x:v>
      </x:c>
    </x:row>
    <x:row r="186">
      <x:c r="A186" t="str">
        <x:v>ORD0185</x:v>
      </x:c>
      <x:c r="B186" s="20" t="n">
        <x:v>45727</x:v>
      </x:c>
      <x:c r="C186" t="str">
        <x:v>Divya Singh</x:v>
      </x:c>
      <x:c r="D186" t="str">
        <x:v>Male</x:v>
      </x:c>
      <x:c r="E186" t="str">
        <x:v>46-60</x:v>
      </x:c>
      <x:c r="F186" t="str">
        <x:v>Visakhapatnam</x:v>
      </x:c>
      <x:c r="G186" t="str">
        <x:v>Andhra Pradesh</x:v>
      </x:c>
      <x:c r="H186" t="str">
        <x:v>South</x:v>
      </x:c>
      <x:c r="I186" t="str">
        <x:v>Fashion</x:v>
      </x:c>
      <x:c r="J186" t="str">
        <x:v>Footwear</x:v>
      </x:c>
      <x:c r="K186" t="str">
        <x:v>Running Shoes</x:v>
      </x:c>
      <x:c r="L186" t="n">
        <x:v>4</x:v>
      </x:c>
      <x:c r="M186" s="22" t="n">
        <x:v>3557.8</x:v>
      </x:c>
      <x:c r="N186" s="24" t="n">
        <x:v>0.05</x:v>
      </x:c>
      <x:c r="O186" s="22" t="n">
        <x:v>2234.37</x:v>
      </x:c>
      <x:c r="P186" s="22" t="n">
        <x:f>L186*M186*(1-N186)</x:f>
        <x:v>13519.64</x:v>
      </x:c>
      <x:c r="Q186" s="22" t="n">
        <x:f>L186*O186</x:f>
        <x:v>8937.48</x:v>
      </x:c>
      <x:c r="R186" s="22" t="n">
        <x:f>P186-Q186</x:f>
        <x:v>4582.16</x:v>
      </x:c>
      <x:c r="S186" t="str">
        <x:v>Net Banking</x:v>
      </x:c>
      <x:c r="T186" t="str">
        <x:v>Consumer</x:v>
      </x:c>
      <x:c r="U186" t="str">
        <x:v>Mobile App</x:v>
      </x:c>
    </x:row>
    <x:row r="187">
      <x:c r="A187" t="str">
        <x:v>ORD0186</x:v>
      </x:c>
      <x:c r="B187" s="20" t="n">
        <x:v>45850</x:v>
      </x:c>
      <x:c r="C187" t="str">
        <x:v>Rahul Gupta</x:v>
      </x:c>
      <x:c r="D187" t="str">
        <x:v>Female</x:v>
      </x:c>
      <x:c r="E187" t="str">
        <x:v>46-60</x:v>
      </x:c>
      <x:c r="F187" t="str">
        <x:v>Delhi</x:v>
      </x:c>
      <x:c r="G187" t="str">
        <x:v>Delhi</x:v>
      </x:c>
      <x:c r="H187" t="str">
        <x:v>North</x:v>
      </x:c>
      <x:c r="I187" t="str">
        <x:v>Fashion</x:v>
      </x:c>
      <x:c r="J187" t="str">
        <x:v>Accessories</x:v>
      </x:c>
      <x:c r="K187" t="str">
        <x:v>Backpack</x:v>
      </x:c>
      <x:c r="L187" t="n">
        <x:v>2</x:v>
      </x:c>
      <x:c r="M187" s="22" t="n">
        <x:v>2152.49</x:v>
      </x:c>
      <x:c r="N187" s="24" t="n">
        <x:v>0.15</x:v>
      </x:c>
      <x:c r="O187" s="22" t="n">
        <x:v>1344.93</x:v>
      </x:c>
      <x:c r="P187" s="22" t="n">
        <x:f>L187*M187*(1-N187)</x:f>
        <x:v>3659.2329999999997</x:v>
      </x:c>
      <x:c r="Q187" s="22" t="n">
        <x:f>L187*O187</x:f>
        <x:v>2689.86</x:v>
      </x:c>
      <x:c r="R187" s="22" t="n">
        <x:f>P187-Q187</x:f>
        <x:v>969.3729999999996</x:v>
      </x:c>
      <x:c r="S187" t="str">
        <x:v>Credit Card</x:v>
      </x:c>
      <x:c r="T187" t="str">
        <x:v>Corporate</x:v>
      </x:c>
      <x:c r="U187" t="str">
        <x:v>Mobile App</x:v>
      </x:c>
    </x:row>
    <x:row r="188">
      <x:c r="A188" t="str">
        <x:v>ORD0187</x:v>
      </x:c>
      <x:c r="B188" s="20" t="n">
        <x:v>46012</x:v>
      </x:c>
      <x:c r="C188" t="str">
        <x:v>Sai Naidu</x:v>
      </x:c>
      <x:c r="D188" t="str">
        <x:v>Male</x:v>
      </x:c>
      <x:c r="E188" t="str">
        <x:v>18-25</x:v>
      </x:c>
      <x:c r="F188" t="str">
        <x:v>Chennai</x:v>
      </x:c>
      <x:c r="G188" t="str">
        <x:v>Tamil Nadu</x:v>
      </x:c>
      <x:c r="H188" t="str">
        <x:v>South</x:v>
      </x:c>
      <x:c r="I188" t="str">
        <x:v>Electronics</x:v>
      </x:c>
      <x:c r="J188" t="str">
        <x:v>Smartwatch</x:v>
      </x:c>
      <x:c r="K188" t="str">
        <x:v>FitTime S2</x:v>
      </x:c>
      <x:c r="L188" t="n">
        <x:v>3</x:v>
      </x:c>
      <x:c r="M188" s="22" t="n">
        <x:v>8221.41</x:v>
      </x:c>
      <x:c r="N188" s="24" t="n">
        <x:v>0</x:v>
      </x:c>
      <x:c r="O188" s="22" t="n">
        <x:v>5438.35</x:v>
      </x:c>
      <x:c r="P188" s="22" t="n">
        <x:f>L188*M188*(1-N188)</x:f>
        <x:v>24664.23</x:v>
      </x:c>
      <x:c r="Q188" s="22" t="n">
        <x:f>L188*O188</x:f>
        <x:v>16315.050000000001</x:v>
      </x:c>
      <x:c r="R188" s="22" t="n">
        <x:f>P188-Q188</x:f>
        <x:v>8349.179999999998</x:v>
      </x:c>
      <x:c r="S188" t="str">
        <x:v>Cash on Delivery</x:v>
      </x:c>
      <x:c r="T188" t="str">
        <x:v>Home Office</x:v>
      </x:c>
      <x:c r="U188" t="str">
        <x:v>Mobile App</x:v>
      </x:c>
    </x:row>
    <x:row r="189">
      <x:c r="A189" t="str">
        <x:v>ORD0188</x:v>
      </x:c>
      <x:c r="B189" s="20" t="n">
        <x:v>45956</x:v>
      </x:c>
      <x:c r="C189" t="str">
        <x:v>Kavya Gupta</x:v>
      </x:c>
      <x:c r="D189" t="str">
        <x:v>Female</x:v>
      </x:c>
      <x:c r="E189" t="str">
        <x:v>18-25</x:v>
      </x:c>
      <x:c r="F189" t="str">
        <x:v>Hyderabad</x:v>
      </x:c>
      <x:c r="G189" t="str">
        <x:v>Telangana</x:v>
      </x:c>
      <x:c r="H189" t="str">
        <x:v>South</x:v>
      </x:c>
      <x:c r="I189" t="str">
        <x:v>Beauty</x:v>
      </x:c>
      <x:c r="J189" t="str">
        <x:v>Makeup</x:v>
      </x:c>
      <x:c r="K189" t="str">
        <x:v>Makeup Kit</x:v>
      </x:c>
      <x:c r="L189" t="n">
        <x:v>4</x:v>
      </x:c>
      <x:c r="M189" s="22" t="n">
        <x:v>3003.17</x:v>
      </x:c>
      <x:c r="N189" s="24" t="n">
        <x:v>0.15</x:v>
      </x:c>
      <x:c r="O189" s="22" t="n">
        <x:v>1808.85</x:v>
      </x:c>
      <x:c r="P189" s="22" t="n">
        <x:f>L189*M189*(1-N189)</x:f>
        <x:v>10210.778</x:v>
      </x:c>
      <x:c r="Q189" s="22" t="n">
        <x:f>L189*O189</x:f>
        <x:v>7235.4</x:v>
      </x:c>
      <x:c r="R189" s="22" t="n">
        <x:f>P189-Q189</x:f>
        <x:v>2975.3780000000006</x:v>
      </x:c>
      <x:c r="S189" t="str">
        <x:v>Credit Card</x:v>
      </x:c>
      <x:c r="T189" t="str">
        <x:v>Home Office</x:v>
      </x:c>
      <x:c r="U189" t="str">
        <x:v>Retail Store</x:v>
      </x:c>
    </x:row>
    <x:row r="190">
      <x:c r="A190" t="str">
        <x:v>ORD0189</x:v>
      </x:c>
      <x:c r="B190" s="20" t="n">
        <x:v>45839</x:v>
      </x:c>
      <x:c r="C190" t="str">
        <x:v>Sree Reddy</x:v>
      </x:c>
      <x:c r="D190" t="str">
        <x:v>Female</x:v>
      </x:c>
      <x:c r="E190" t="str">
        <x:v>18-25</x:v>
      </x:c>
      <x:c r="F190" t="str">
        <x:v>Bhubaneswar</x:v>
      </x:c>
      <x:c r="G190" t="str">
        <x:v>Odisha</x:v>
      </x:c>
      <x:c r="H190" t="str">
        <x:v>East</x:v>
      </x:c>
      <x:c r="I190" t="str">
        <x:v>Home &amp; Furniture</x:v>
      </x:c>
      <x:c r="J190" t="str">
        <x:v>Furniture</x:v>
      </x:c>
      <x:c r="K190" t="str">
        <x:v>Office Chair</x:v>
      </x:c>
      <x:c r="L190" t="n">
        <x:v>4</x:v>
      </x:c>
      <x:c r="M190" s="22" t="n">
        <x:v>9091.04</x:v>
      </x:c>
      <x:c r="N190" s="24" t="n">
        <x:v>0.05</x:v>
      </x:c>
      <x:c r="O190" s="22" t="n">
        <x:v>6271.94</x:v>
      </x:c>
      <x:c r="P190" s="22" t="n">
        <x:f>L190*M190*(1-N190)</x:f>
        <x:v>34545.952000000005</x:v>
      </x:c>
      <x:c r="Q190" s="22" t="n">
        <x:f>L190*O190</x:f>
        <x:v>25087.76</x:v>
      </x:c>
      <x:c r="R190" s="22" t="n">
        <x:f>P190-Q190</x:f>
        <x:v>9458.192000000006</x:v>
      </x:c>
      <x:c r="S190" t="str">
        <x:v>Debit Card</x:v>
      </x:c>
      <x:c r="T190" t="str">
        <x:v>Consumer</x:v>
      </x:c>
      <x:c r="U190" t="str">
        <x:v>Retail Store</x:v>
      </x:c>
    </x:row>
    <x:row r="191">
      <x:c r="A191" t="str">
        <x:v>ORD0190</x:v>
      </x:c>
      <x:c r="B191" s="20" t="n">
        <x:v>45923</x:v>
      </x:c>
      <x:c r="C191" t="str">
        <x:v>Sai Singh</x:v>
      </x:c>
      <x:c r="D191" t="str">
        <x:v>Female</x:v>
      </x:c>
      <x:c r="E191" t="str">
        <x:v>46-60</x:v>
      </x:c>
      <x:c r="F191" t="str">
        <x:v>Delhi</x:v>
      </x:c>
      <x:c r="G191" t="str">
        <x:v>Delhi</x:v>
      </x:c>
      <x:c r="H191" t="str">
        <x:v>North</x:v>
      </x:c>
      <x:c r="I191" t="str">
        <x:v>Home &amp; Furniture</x:v>
      </x:c>
      <x:c r="J191" t="str">
        <x:v>Appliances</x:v>
      </x:c>
      <x:c r="K191" t="str">
        <x:v>Air Fryer</x:v>
      </x:c>
      <x:c r="L191" t="n">
        <x:v>5</x:v>
      </x:c>
      <x:c r="M191" s="22" t="n">
        <x:v>7348.94</x:v>
      </x:c>
      <x:c r="N191" s="24" t="n">
        <x:v>0.2</x:v>
      </x:c>
      <x:c r="O191" s="22" t="n">
        <x:v>5084.93</x:v>
      </x:c>
      <x:c r="P191" s="22" t="n">
        <x:f>L191*M191*(1-N191)</x:f>
        <x:v>29395.76</x:v>
      </x:c>
      <x:c r="Q191" s="22" t="n">
        <x:f>L191*O191</x:f>
        <x:v>25424.65</x:v>
      </x:c>
      <x:c r="R191" s="22" t="n">
        <x:f>P191-Q191</x:f>
        <x:v>3971.109999999997</x:v>
      </x:c>
      <x:c r="S191" t="str">
        <x:v>UPI</x:v>
      </x:c>
      <x:c r="T191" t="str">
        <x:v>Corporate</x:v>
      </x:c>
      <x:c r="U191" t="str">
        <x:v>Mobile App</x:v>
      </x:c>
    </x:row>
    <x:row r="192">
      <x:c r="A192" t="str">
        <x:v>ORD0191</x:v>
      </x:c>
      <x:c r="B192" s="20" t="n">
        <x:v>45701</x:v>
      </x:c>
      <x:c r="C192" t="str">
        <x:v>Kavya Verma</x:v>
      </x:c>
      <x:c r="D192" t="str">
        <x:v>Female</x:v>
      </x:c>
      <x:c r="E192" t="str">
        <x:v>46-60</x:v>
      </x:c>
      <x:c r="F192" t="str">
        <x:v>Ahmedabad</x:v>
      </x:c>
      <x:c r="G192" t="str">
        <x:v>Gujarat</x:v>
      </x:c>
      <x:c r="H192" t="str">
        <x:v>West</x:v>
      </x:c>
      <x:c r="I192" t="str">
        <x:v>Electronics</x:v>
      </x:c>
      <x:c r="J192" t="str">
        <x:v>Smartphone</x:v>
      </x:c>
      <x:c r="K192" t="str">
        <x:v>Nova X</x:v>
      </x:c>
      <x:c r="L192" t="n">
        <x:v>2</x:v>
      </x:c>
      <x:c r="M192" s="22" t="n">
        <x:v>31223.44</x:v>
      </x:c>
      <x:c r="N192" s="24" t="n">
        <x:v>0.15</x:v>
      </x:c>
      <x:c r="O192" s="22" t="n">
        <x:v>24192.41</x:v>
      </x:c>
      <x:c r="P192" s="22" t="n">
        <x:f>L192*M192*(1-N192)</x:f>
        <x:v>53079.848</x:v>
      </x:c>
      <x:c r="Q192" s="22" t="n">
        <x:f>L192*O192</x:f>
        <x:v>48384.82</x:v>
      </x:c>
      <x:c r="R192" s="22" t="n">
        <x:f>P192-Q192</x:f>
        <x:v>4695.027999999998</x:v>
      </x:c>
      <x:c r="S192" t="str">
        <x:v>Cash on Delivery</x:v>
      </x:c>
      <x:c r="T192" t="str">
        <x:v>Corporate</x:v>
      </x:c>
      <x:c r="U192" t="str">
        <x:v>Online</x:v>
      </x:c>
    </x:row>
    <x:row r="193">
      <x:c r="A193" t="str">
        <x:v>ORD0192</x:v>
      </x:c>
      <x:c r="B193" s="20" t="n">
        <x:v>45811</x:v>
      </x:c>
      <x:c r="C193" t="str">
        <x:v>Rahul Patel</x:v>
      </x:c>
      <x:c r="D193" t="str">
        <x:v>Female</x:v>
      </x:c>
      <x:c r="E193" t="str">
        <x:v>26-35</x:v>
      </x:c>
      <x:c r="F193" t="str">
        <x:v>Bhubaneswar</x:v>
      </x:c>
      <x:c r="G193" t="str">
        <x:v>Odisha</x:v>
      </x:c>
      <x:c r="H193" t="str">
        <x:v>East</x:v>
      </x:c>
      <x:c r="I193" t="str">
        <x:v>Electronics</x:v>
      </x:c>
      <x:c r="J193" t="str">
        <x:v>Laptop</x:v>
      </x:c>
      <x:c r="K193" t="str">
        <x:v>AeroBook 14</x:v>
      </x:c>
      <x:c r="L193" t="n">
        <x:v>1</x:v>
      </x:c>
      <x:c r="M193" s="22" t="n">
        <x:v>57264.04</x:v>
      </x:c>
      <x:c r="N193" s="24" t="n">
        <x:v>0.2</x:v>
      </x:c>
      <x:c r="O193" s="22" t="n">
        <x:v>49372.31</x:v>
      </x:c>
      <x:c r="P193" s="22" t="n">
        <x:f>L193*M193*(1-N193)</x:f>
        <x:v>45811.232</x:v>
      </x:c>
      <x:c r="Q193" s="22" t="n">
        <x:f>L193*O193</x:f>
        <x:v>49372.31</x:v>
      </x:c>
      <x:c r="R193" s="22" t="n">
        <x:f>P193-Q193</x:f>
        <x:v>-3561.077999999994</x:v>
      </x:c>
      <x:c r="S193" t="str">
        <x:v>Debit Card</x:v>
      </x:c>
      <x:c r="T193" t="str">
        <x:v>Home Office</x:v>
      </x:c>
      <x:c r="U193" t="str">
        <x:v>Mobile App</x:v>
      </x:c>
    </x:row>
    <x:row r="194">
      <x:c r="A194" t="str">
        <x:v>ORD0193</x:v>
      </x:c>
      <x:c r="B194" s="20" t="n">
        <x:v>45894</x:v>
      </x:c>
      <x:c r="C194" t="str">
        <x:v>Harsha Patel</x:v>
      </x:c>
      <x:c r="D194" t="str">
        <x:v>Male</x:v>
      </x:c>
      <x:c r="E194" t="str">
        <x:v>46-60</x:v>
      </x:c>
      <x:c r="F194" t="str">
        <x:v>Hyderabad</x:v>
      </x:c>
      <x:c r="G194" t="str">
        <x:v>Telangana</x:v>
      </x:c>
      <x:c r="H194" t="str">
        <x:v>South</x:v>
      </x:c>
      <x:c r="I194" t="str">
        <x:v>Home &amp; Furniture</x:v>
      </x:c>
      <x:c r="J194" t="str">
        <x:v>Appliances</x:v>
      </x:c>
      <x:c r="K194" t="str">
        <x:v>Air Fryer</x:v>
      </x:c>
      <x:c r="L194" t="n">
        <x:v>4</x:v>
      </x:c>
      <x:c r="M194" s="22" t="n">
        <x:v>7655.71</x:v>
      </x:c>
      <x:c r="N194" s="24" t="n">
        <x:v>0.1</x:v>
      </x:c>
      <x:c r="O194" s="22" t="n">
        <x:v>4972.05</x:v>
      </x:c>
      <x:c r="P194" s="22" t="n">
        <x:f>L194*M194*(1-N194)</x:f>
        <x:v>27560.556</x:v>
      </x:c>
      <x:c r="Q194" s="22" t="n">
        <x:f>L194*O194</x:f>
        <x:v>19888.2</x:v>
      </x:c>
      <x:c r="R194" s="22" t="n">
        <x:f>P194-Q194</x:f>
        <x:v>7672.356</x:v>
      </x:c>
      <x:c r="S194" t="str">
        <x:v>Cash on Delivery</x:v>
      </x:c>
      <x:c r="T194" t="str">
        <x:v>Consumer</x:v>
      </x:c>
      <x:c r="U194" t="str">
        <x:v>Retail Store</x:v>
      </x:c>
    </x:row>
    <x:row r="195">
      <x:c r="A195" t="str">
        <x:v>ORD0194</x:v>
      </x:c>
      <x:c r="B195" s="20" t="n">
        <x:v>45767</x:v>
      </x:c>
      <x:c r="C195" t="str">
        <x:v>Ravi Rao</x:v>
      </x:c>
      <x:c r="D195" t="str">
        <x:v>Male</x:v>
      </x:c>
      <x:c r="E195" t="str">
        <x:v>36-45</x:v>
      </x:c>
      <x:c r="F195" t="str">
        <x:v>Vijayawada</x:v>
      </x:c>
      <x:c r="G195" t="str">
        <x:v>Andhra Pradesh</x:v>
      </x:c>
      <x:c r="H195" t="str">
        <x:v>South</x:v>
      </x:c>
      <x:c r="I195" t="str">
        <x:v>Home &amp; Furniture</x:v>
      </x:c>
      <x:c r="J195" t="str">
        <x:v>Appliances</x:v>
      </x:c>
      <x:c r="K195" t="str">
        <x:v>Mixer Grinder</x:v>
      </x:c>
      <x:c r="L195" t="n">
        <x:v>1</x:v>
      </x:c>
      <x:c r="M195" s="22" t="n">
        <x:v>4369.56</x:v>
      </x:c>
      <x:c r="N195" s="24" t="n">
        <x:v>0.15</x:v>
      </x:c>
      <x:c r="O195" s="22" t="n">
        <x:v>2971.63</x:v>
      </x:c>
      <x:c r="P195" s="22" t="n">
        <x:f>L195*M195*(1-N195)</x:f>
        <x:v>3714.126</x:v>
      </x:c>
      <x:c r="Q195" s="22" t="n">
        <x:f>L195*O195</x:f>
        <x:v>2971.63</x:v>
      </x:c>
      <x:c r="R195" s="22" t="n">
        <x:f>P195-Q195</x:f>
        <x:v>742.4960000000001</x:v>
      </x:c>
      <x:c r="S195" t="str">
        <x:v>Credit Card</x:v>
      </x:c>
      <x:c r="T195" t="str">
        <x:v>Corporate</x:v>
      </x:c>
      <x:c r="U195" t="str">
        <x:v>Online</x:v>
      </x:c>
    </x:row>
    <x:row r="196">
      <x:c r="A196" t="str">
        <x:v>ORD0195</x:v>
      </x:c>
      <x:c r="B196" s="20" t="n">
        <x:v>45792</x:v>
      </x:c>
      <x:c r="C196" t="str">
        <x:v>Nikhil Reddy</x:v>
      </x:c>
      <x:c r="D196" t="str">
        <x:v>Male</x:v>
      </x:c>
      <x:c r="E196" t="str">
        <x:v>36-45</x:v>
      </x:c>
      <x:c r="F196" t="str">
        <x:v>Pune</x:v>
      </x:c>
      <x:c r="G196" t="str">
        <x:v>Maharashtra</x:v>
      </x:c>
      <x:c r="H196" t="str">
        <x:v>West</x:v>
      </x:c>
      <x:c r="I196" t="str">
        <x:v>Beauty</x:v>
      </x:c>
      <x:c r="J196" t="str">
        <x:v>Makeup</x:v>
      </x:c>
      <x:c r="K196" t="str">
        <x:v>Makeup Kit</x:v>
      </x:c>
      <x:c r="L196" t="n">
        <x:v>4</x:v>
      </x:c>
      <x:c r="M196" s="22" t="n">
        <x:v>3223.64</x:v>
      </x:c>
      <x:c r="N196" s="24" t="n">
        <x:v>0.15</x:v>
      </x:c>
      <x:c r="O196" s="22" t="n">
        <x:v>1723.88</x:v>
      </x:c>
      <x:c r="P196" s="22" t="n">
        <x:f>L196*M196*(1-N196)</x:f>
        <x:v>10960.375999999998</x:v>
      </x:c>
      <x:c r="Q196" s="22" t="n">
        <x:f>L196*O196</x:f>
        <x:v>6895.52</x:v>
      </x:c>
      <x:c r="R196" s="22" t="n">
        <x:f>P196-Q196</x:f>
        <x:v>4064.855999999998</x:v>
      </x:c>
      <x:c r="S196" t="str">
        <x:v>Cash on Delivery</x:v>
      </x:c>
      <x:c r="T196" t="str">
        <x:v>Home Office</x:v>
      </x:c>
      <x:c r="U196" t="str">
        <x:v>Online</x:v>
      </x:c>
    </x:row>
    <x:row r="197">
      <x:c r="A197" t="str">
        <x:v>ORD0196</x:v>
      </x:c>
      <x:c r="B197" s="20" t="n">
        <x:v>46002</x:v>
      </x:c>
      <x:c r="C197" t="str">
        <x:v>Rahul Singh</x:v>
      </x:c>
      <x:c r="D197" t="str">
        <x:v>Female</x:v>
      </x:c>
      <x:c r="E197" t="str">
        <x:v>46-60</x:v>
      </x:c>
      <x:c r="F197" t="str">
        <x:v>Vijayawada</x:v>
      </x:c>
      <x:c r="G197" t="str">
        <x:v>Andhra Pradesh</x:v>
      </x:c>
      <x:c r="H197" t="str">
        <x:v>South</x:v>
      </x:c>
      <x:c r="I197" t="str">
        <x:v>Fashion</x:v>
      </x:c>
      <x:c r="J197" t="str">
        <x:v>Men</x:v>
      </x:c>
      <x:c r="K197" t="str">
        <x:v>Casual Shirt</x:v>
      </x:c>
      <x:c r="L197" t="n">
        <x:v>2</x:v>
      </x:c>
      <x:c r="M197" s="22" t="n">
        <x:v>1644.06</x:v>
      </x:c>
      <x:c r="N197" s="24" t="n">
        <x:v>0.05</x:v>
      </x:c>
      <x:c r="O197" s="22" t="n">
        <x:v>886.55</x:v>
      </x:c>
      <x:c r="P197" s="22" t="n">
        <x:f>L197*M197*(1-N197)</x:f>
        <x:v>3123.714</x:v>
      </x:c>
      <x:c r="Q197" s="22" t="n">
        <x:f>L197*O197</x:f>
        <x:v>1773.1</x:v>
      </x:c>
      <x:c r="R197" s="22" t="n">
        <x:f>P197-Q197</x:f>
        <x:v>1350.614</x:v>
      </x:c>
      <x:c r="S197" t="str">
        <x:v>Cash on Delivery</x:v>
      </x:c>
      <x:c r="T197" t="str">
        <x:v>Home Office</x:v>
      </x:c>
      <x:c r="U197" t="str">
        <x:v>Online</x:v>
      </x:c>
    </x:row>
    <x:row r="198">
      <x:c r="A198" t="str">
        <x:v>ORD0197</x:v>
      </x:c>
      <x:c r="B198" s="20" t="n">
        <x:v>45952</x:v>
      </x:c>
      <x:c r="C198" t="str">
        <x:v>Sneha Kumar</x:v>
      </x:c>
      <x:c r="D198" t="str">
        <x:v>Female</x:v>
      </x:c>
      <x:c r="E198" t="str">
        <x:v>26-35</x:v>
      </x:c>
      <x:c r="F198" t="str">
        <x:v>Visakhapatnam</x:v>
      </x:c>
      <x:c r="G198" t="str">
        <x:v>Andhra Pradesh</x:v>
      </x:c>
      <x:c r="H198" t="str">
        <x:v>South</x:v>
      </x:c>
      <x:c r="I198" t="str">
        <x:v>Beauty</x:v>
      </x:c>
      <x:c r="J198" t="str">
        <x:v>Haircare</x:v>
      </x:c>
      <x:c r="K198" t="str">
        <x:v>Hair Dryer</x:v>
      </x:c>
      <x:c r="L198" t="n">
        <x:v>2</x:v>
      </x:c>
      <x:c r="M198" s="22" t="n">
        <x:v>2279.33</x:v>
      </x:c>
      <x:c r="N198" s="24" t="n">
        <x:v>0.15</x:v>
      </x:c>
      <x:c r="O198" s="22" t="n">
        <x:v>1465.72</x:v>
      </x:c>
      <x:c r="P198" s="22" t="n">
        <x:f>L198*M198*(1-N198)</x:f>
        <x:v>3874.861</x:v>
      </x:c>
      <x:c r="Q198" s="22" t="n">
        <x:f>L198*O198</x:f>
        <x:v>2931.44</x:v>
      </x:c>
      <x:c r="R198" s="22" t="n">
        <x:f>P198-Q198</x:f>
        <x:v>943.4209999999998</x:v>
      </x:c>
      <x:c r="S198" t="str">
        <x:v>Debit Card</x:v>
      </x:c>
      <x:c r="T198" t="str">
        <x:v>Corporate</x:v>
      </x:c>
      <x:c r="U198" t="str">
        <x:v>Retail Store</x:v>
      </x:c>
    </x:row>
    <x:row r="199">
      <x:c r="A199" t="str">
        <x:v>ORD0198</x:v>
      </x:c>
      <x:c r="B199" s="20" t="n">
        <x:v>45685</x:v>
      </x:c>
      <x:c r="C199" t="str">
        <x:v>Sneha Naidu</x:v>
      </x:c>
      <x:c r="D199" t="str">
        <x:v>Male</x:v>
      </x:c>
      <x:c r="E199" t="str">
        <x:v>46-60</x:v>
      </x:c>
      <x:c r="F199" t="str">
        <x:v>Delhi</x:v>
      </x:c>
      <x:c r="G199" t="str">
        <x:v>Delhi</x:v>
      </x:c>
      <x:c r="H199" t="str">
        <x:v>North</x:v>
      </x:c>
      <x:c r="I199" t="str">
        <x:v>Fashion</x:v>
      </x:c>
      <x:c r="J199" t="str">
        <x:v>Men</x:v>
      </x:c>
      <x:c r="K199" t="str">
        <x:v>Casual Shirt</x:v>
      </x:c>
      <x:c r="L199" t="n">
        <x:v>4</x:v>
      </x:c>
      <x:c r="M199" s="22" t="n">
        <x:v>1596.06</x:v>
      </x:c>
      <x:c r="N199" s="24" t="n">
        <x:v>0.15</x:v>
      </x:c>
      <x:c r="O199" s="22" t="n">
        <x:v>878.05</x:v>
      </x:c>
      <x:c r="P199" s="22" t="n">
        <x:f>L199*M199*(1-N199)</x:f>
        <x:v>5426.603999999999</x:v>
      </x:c>
      <x:c r="Q199" s="22" t="n">
        <x:f>L199*O199</x:f>
        <x:v>3512.2</x:v>
      </x:c>
      <x:c r="R199" s="22" t="n">
        <x:f>P199-Q199</x:f>
        <x:v>1914.4039999999995</x:v>
      </x:c>
      <x:c r="S199" t="str">
        <x:v>Cash on Delivery</x:v>
      </x:c>
      <x:c r="T199" t="str">
        <x:v>Corporate</x:v>
      </x:c>
      <x:c r="U199" t="str">
        <x:v>Online</x:v>
      </x:c>
    </x:row>
    <x:row r="200">
      <x:c r="A200" t="str">
        <x:v>ORD0199</x:v>
      </x:c>
      <x:c r="B200" s="20" t="n">
        <x:v>45700</x:v>
      </x:c>
      <x:c r="C200" t="str">
        <x:v>Pooja Das</x:v>
      </x:c>
      <x:c r="D200" t="str">
        <x:v>Male</x:v>
      </x:c>
      <x:c r="E200" t="str">
        <x:v>18-25</x:v>
      </x:c>
      <x:c r="F200" t="str">
        <x:v>Visakhapatnam</x:v>
      </x:c>
      <x:c r="G200" t="str">
        <x:v>Andhra Pradesh</x:v>
      </x:c>
      <x:c r="H200" t="str">
        <x:v>South</x:v>
      </x:c>
      <x:c r="I200" t="str">
        <x:v>Electronics</x:v>
      </x:c>
      <x:c r="J200" t="str">
        <x:v>Smartphone</x:v>
      </x:c>
      <x:c r="K200" t="str">
        <x:v>Nova X</x:v>
      </x:c>
      <x:c r="L200" t="n">
        <x:v>5</x:v>
      </x:c>
      <x:c r="M200" s="22" t="n">
        <x:v>30935.5</x:v>
      </x:c>
      <x:c r="N200" s="24" t="n">
        <x:v>0.05</x:v>
      </x:c>
      <x:c r="O200" s="22" t="n">
        <x:v>24058.71</x:v>
      </x:c>
      <x:c r="P200" s="22" t="n">
        <x:f>L200*M200*(1-N200)</x:f>
        <x:v>146943.625</x:v>
      </x:c>
      <x:c r="Q200" s="22" t="n">
        <x:f>L200*O200</x:f>
        <x:v>120293.54999999999</x:v>
      </x:c>
      <x:c r="R200" s="22" t="n">
        <x:f>P200-Q200</x:f>
        <x:v>26650.07500000001</x:v>
      </x:c>
      <x:c r="S200" t="str">
        <x:v>Net Banking</x:v>
      </x:c>
      <x:c r="T200" t="str">
        <x:v>Consumer</x:v>
      </x:c>
      <x:c r="U200" t="str">
        <x:v>Mobile App</x:v>
      </x:c>
    </x:row>
    <x:row r="201">
      <x:c r="A201" t="str">
        <x:v>ORD0200</x:v>
      </x:c>
      <x:c r="B201" s="20" t="n">
        <x:v>45936</x:v>
      </x:c>
      <x:c r="C201" t="str">
        <x:v>Rohit Kumar</x:v>
      </x:c>
      <x:c r="D201" t="str">
        <x:v>Female</x:v>
      </x:c>
      <x:c r="E201" t="str">
        <x:v>46-60</x:v>
      </x:c>
      <x:c r="F201" t="str">
        <x:v>Vijayawada</x:v>
      </x:c>
      <x:c r="G201" t="str">
        <x:v>Andhra Pradesh</x:v>
      </x:c>
      <x:c r="H201" t="str">
        <x:v>South</x:v>
      </x:c>
      <x:c r="I201" t="str">
        <x:v>Fashion</x:v>
      </x:c>
      <x:c r="J201" t="str">
        <x:v>Men</x:v>
      </x:c>
      <x:c r="K201" t="str">
        <x:v>Casual Shirt</x:v>
      </x:c>
      <x:c r="L201" t="n">
        <x:v>2</x:v>
      </x:c>
      <x:c r="M201" s="22" t="n">
        <x:v>1666.56</x:v>
      </x:c>
      <x:c r="N201" s="24" t="n">
        <x:v>0.1</x:v>
      </x:c>
      <x:c r="O201" s="22" t="n">
        <x:v>895.78</x:v>
      </x:c>
      <x:c r="P201" s="22" t="n">
        <x:f>L201*M201*(1-N201)</x:f>
        <x:v>2999.808</x:v>
      </x:c>
      <x:c r="Q201" s="22" t="n">
        <x:f>L201*O201</x:f>
        <x:v>1791.56</x:v>
      </x:c>
      <x:c r="R201" s="22" t="n">
        <x:f>P201-Q201</x:f>
        <x:v>1208.248</x:v>
      </x:c>
      <x:c r="S201" t="str">
        <x:v>Debit Card</x:v>
      </x:c>
      <x:c r="T201" t="str">
        <x:v>Corporate</x:v>
      </x:c>
      <x:c r="U201" t="str">
        <x:v>Online</x:v>
      </x:c>
    </x:row>
    <x:row r="202">
      <x:c r="A202" t="str">
        <x:v>ORD0201</x:v>
      </x:c>
      <x:c r="B202" s="20" t="n">
        <x:v>45882</x:v>
      </x:c>
      <x:c r="C202" t="str">
        <x:v>Sree Rao</x:v>
      </x:c>
      <x:c r="D202" t="str">
        <x:v>Female</x:v>
      </x:c>
      <x:c r="E202" t="str">
        <x:v>26-35</x:v>
      </x:c>
      <x:c r="F202" t="str">
        <x:v>Jaipur</x:v>
      </x:c>
      <x:c r="G202" t="str">
        <x:v>Rajasthan</x:v>
      </x:c>
      <x:c r="H202" t="str">
        <x:v>North</x:v>
      </x:c>
      <x:c r="I202" t="str">
        <x:v>Electronics</x:v>
      </x:c>
      <x:c r="J202" t="str">
        <x:v>Smartphone</x:v>
      </x:c>
      <x:c r="K202" t="str">
        <x:v>Nova X</x:v>
      </x:c>
      <x:c r="L202" t="n">
        <x:v>3</x:v>
      </x:c>
      <x:c r="M202" s="22" t="n">
        <x:v>30514.58</x:v>
      </x:c>
      <x:c r="N202" s="24" t="n">
        <x:v>0.2</x:v>
      </x:c>
      <x:c r="O202" s="22" t="n">
        <x:v>24965.72</x:v>
      </x:c>
      <x:c r="P202" s="22" t="n">
        <x:f>L202*M202*(1-N202)</x:f>
        <x:v>73234.99200000001</x:v>
      </x:c>
      <x:c r="Q202" s="22" t="n">
        <x:f>L202*O202</x:f>
        <x:v>74897.16</x:v>
      </x:c>
      <x:c r="R202" s="22" t="n">
        <x:f>P202-Q202</x:f>
        <x:v>-1662.1679999999906</x:v>
      </x:c>
      <x:c r="S202" t="str">
        <x:v>Credit Card</x:v>
      </x:c>
      <x:c r="T202" t="str">
        <x:v>Consumer</x:v>
      </x:c>
      <x:c r="U202" t="str">
        <x:v>Retail Store</x:v>
      </x:c>
    </x:row>
    <x:row r="203">
      <x:c r="A203" t="str">
        <x:v>ORD0202</x:v>
      </x:c>
      <x:c r="B203" s="20" t="n">
        <x:v>45837</x:v>
      </x:c>
      <x:c r="C203" t="str">
        <x:v>Meena Reddy</x:v>
      </x:c>
      <x:c r="D203" t="str">
        <x:v>Female</x:v>
      </x:c>
      <x:c r="E203" t="str">
        <x:v>46-60</x:v>
      </x:c>
      <x:c r="F203" t="str">
        <x:v>Chennai</x:v>
      </x:c>
      <x:c r="G203" t="str">
        <x:v>Tamil Nadu</x:v>
      </x:c>
      <x:c r="H203" t="str">
        <x:v>South</x:v>
      </x:c>
      <x:c r="I203" t="str">
        <x:v>Fashion</x:v>
      </x:c>
      <x:c r="J203" t="str">
        <x:v>Women</x:v>
      </x:c>
      <x:c r="K203" t="str">
        <x:v>Kurti</x:v>
      </x:c>
      <x:c r="L203" t="n">
        <x:v>3</x:v>
      </x:c>
      <x:c r="M203" s="22" t="n">
        <x:v>1749.21</x:v>
      </x:c>
      <x:c r="N203" s="24" t="n">
        <x:v>0.15</x:v>
      </x:c>
      <x:c r="O203" s="22" t="n">
        <x:v>1016.32</x:v>
      </x:c>
      <x:c r="P203" s="22" t="n">
        <x:f>L203*M203*(1-N203)</x:f>
        <x:v>4460.4855</x:v>
      </x:c>
      <x:c r="Q203" s="22" t="n">
        <x:f>L203*O203</x:f>
        <x:v>3048.96</x:v>
      </x:c>
      <x:c r="R203" s="22" t="n">
        <x:f>P203-Q203</x:f>
        <x:v>1411.5254999999997</x:v>
      </x:c>
      <x:c r="S203" t="str">
        <x:v>UPI</x:v>
      </x:c>
      <x:c r="T203" t="str">
        <x:v>Corporate</x:v>
      </x:c>
      <x:c r="U203" t="str">
        <x:v>Retail Store</x:v>
      </x:c>
    </x:row>
    <x:row r="204">
      <x:c r="A204" t="str">
        <x:v>ORD0203</x:v>
      </x:c>
      <x:c r="B204" s="20" t="n">
        <x:v>45722</x:v>
      </x:c>
      <x:c r="C204" t="str">
        <x:v>Sneha Rao</x:v>
      </x:c>
      <x:c r="D204" t="str">
        <x:v>Male</x:v>
      </x:c>
      <x:c r="E204" t="str">
        <x:v>46-60</x:v>
      </x:c>
      <x:c r="F204" t="str">
        <x:v>Pune</x:v>
      </x:c>
      <x:c r="G204" t="str">
        <x:v>Maharashtra</x:v>
      </x:c>
      <x:c r="H204" t="str">
        <x:v>West</x:v>
      </x:c>
      <x:c r="I204" t="str">
        <x:v>Home &amp; Furniture</x:v>
      </x:c>
      <x:c r="J204" t="str">
        <x:v>Furniture</x:v>
      </x:c>
      <x:c r="K204" t="str">
        <x:v>Study Table</x:v>
      </x:c>
      <x:c r="L204" t="n">
        <x:v>2</x:v>
      </x:c>
      <x:c r="M204" s="22" t="n">
        <x:v>11792.49</x:v>
      </x:c>
      <x:c r="N204" s="24" t="n">
        <x:v>0.2</x:v>
      </x:c>
      <x:c r="O204" s="22" t="n">
        <x:v>8674.76</x:v>
      </x:c>
      <x:c r="P204" s="22" t="n">
        <x:f>L204*M204*(1-N204)</x:f>
        <x:v>18867.984</x:v>
      </x:c>
      <x:c r="Q204" s="22" t="n">
        <x:f>L204*O204</x:f>
        <x:v>17349.52</x:v>
      </x:c>
      <x:c r="R204" s="22" t="n">
        <x:f>P204-Q204</x:f>
        <x:v>1518.464</x:v>
      </x:c>
      <x:c r="S204" t="str">
        <x:v>Cash on Delivery</x:v>
      </x:c>
      <x:c r="T204" t="str">
        <x:v>Corporate</x:v>
      </x:c>
      <x:c r="U204" t="str">
        <x:v>Online</x:v>
      </x:c>
    </x:row>
    <x:row r="205">
      <x:c r="A205" t="str">
        <x:v>ORD0204</x:v>
      </x:c>
      <x:c r="B205" s="20" t="n">
        <x:v>45982</x:v>
      </x:c>
      <x:c r="C205" t="str">
        <x:v>Priya Das</x:v>
      </x:c>
      <x:c r="D205" t="str">
        <x:v>Female</x:v>
      </x:c>
      <x:c r="E205" t="str">
        <x:v>18-25</x:v>
      </x:c>
      <x:c r="F205" t="str">
        <x:v>Ahmedabad</x:v>
      </x:c>
      <x:c r="G205" t="str">
        <x:v>Gujarat</x:v>
      </x:c>
      <x:c r="H205" t="str">
        <x:v>West</x:v>
      </x:c>
      <x:c r="I205" t="str">
        <x:v>Electronics</x:v>
      </x:c>
      <x:c r="J205" t="str">
        <x:v>Smartwatch</x:v>
      </x:c>
      <x:c r="K205" t="str">
        <x:v>FitTime S2</x:v>
      </x:c>
      <x:c r="L205" t="n">
        <x:v>3</x:v>
      </x:c>
      <x:c r="M205" s="22" t="n">
        <x:v>8019.99</x:v>
      </x:c>
      <x:c r="N205" s="24" t="n">
        <x:v>0.1</x:v>
      </x:c>
      <x:c r="O205" s="22" t="n">
        <x:v>5500.65</x:v>
      </x:c>
      <x:c r="P205" s="22" t="n">
        <x:f>L205*M205*(1-N205)</x:f>
        <x:v>21653.973</x:v>
      </x:c>
      <x:c r="Q205" s="22" t="n">
        <x:f>L205*O205</x:f>
        <x:v>16501.949999999997</x:v>
      </x:c>
      <x:c r="R205" s="22" t="n">
        <x:f>P205-Q205</x:f>
        <x:v>5152.023000000005</x:v>
      </x:c>
      <x:c r="S205" t="str">
        <x:v>Cash on Delivery</x:v>
      </x:c>
      <x:c r="T205" t="str">
        <x:v>Home Office</x:v>
      </x:c>
      <x:c r="U205" t="str">
        <x:v>Retail Store</x:v>
      </x:c>
    </x:row>
    <x:row r="206">
      <x:c r="A206" t="str">
        <x:v>ORD0205</x:v>
      </x:c>
      <x:c r="B206" s="20" t="n">
        <x:v>46015</x:v>
      </x:c>
      <x:c r="C206" t="str">
        <x:v>Neha Singh</x:v>
      </x:c>
      <x:c r="D206" t="str">
        <x:v>Male</x:v>
      </x:c>
      <x:c r="E206" t="str">
        <x:v>36-45</x:v>
      </x:c>
      <x:c r="F206" t="str">
        <x:v>Ahmedabad</x:v>
      </x:c>
      <x:c r="G206" t="str">
        <x:v>Gujarat</x:v>
      </x:c>
      <x:c r="H206" t="str">
        <x:v>West</x:v>
      </x:c>
      <x:c r="I206" t="str">
        <x:v>Fashion</x:v>
      </x:c>
      <x:c r="J206" t="str">
        <x:v>Men</x:v>
      </x:c>
      <x:c r="K206" t="str">
        <x:v>Casual Shirt</x:v>
      </x:c>
      <x:c r="L206" t="n">
        <x:v>4</x:v>
      </x:c>
      <x:c r="M206" s="22" t="n">
        <x:v>1675.69</x:v>
      </x:c>
      <x:c r="N206" s="24" t="n">
        <x:v>0</x:v>
      </x:c>
      <x:c r="O206" s="22" t="n">
        <x:v>892.64</x:v>
      </x:c>
      <x:c r="P206" s="22" t="n">
        <x:f>L206*M206*(1-N206)</x:f>
        <x:v>6702.76</x:v>
      </x:c>
      <x:c r="Q206" s="22" t="n">
        <x:f>L206*O206</x:f>
        <x:v>3570.56</x:v>
      </x:c>
      <x:c r="R206" s="22" t="n">
        <x:f>P206-Q206</x:f>
        <x:v>3132.2000000000003</x:v>
      </x:c>
      <x:c r="S206" t="str">
        <x:v>Net Banking</x:v>
      </x:c>
      <x:c r="T206" t="str">
        <x:v>Home Office</x:v>
      </x:c>
      <x:c r="U206" t="str">
        <x:v>Online</x:v>
      </x:c>
    </x:row>
    <x:row r="207">
      <x:c r="A207" t="str">
        <x:v>ORD0206</x:v>
      </x:c>
      <x:c r="B207" s="20" t="n">
        <x:v>45947</x:v>
      </x:c>
      <x:c r="C207" t="str">
        <x:v>Pooja Sharma</x:v>
      </x:c>
      <x:c r="D207" t="str">
        <x:v>Female</x:v>
      </x:c>
      <x:c r="E207" t="str">
        <x:v>26-35</x:v>
      </x:c>
      <x:c r="F207" t="str">
        <x:v>Lucknow</x:v>
      </x:c>
      <x:c r="G207" t="str">
        <x:v>Uttar Pradesh</x:v>
      </x:c>
      <x:c r="H207" t="str">
        <x:v>North</x:v>
      </x:c>
      <x:c r="I207" t="str">
        <x:v>Beauty</x:v>
      </x:c>
      <x:c r="J207" t="str">
        <x:v>Haircare</x:v>
      </x:c>
      <x:c r="K207" t="str">
        <x:v>Hair Dryer</x:v>
      </x:c>
      <x:c r="L207" t="n">
        <x:v>1</x:v>
      </x:c>
      <x:c r="M207" s="22" t="n">
        <x:v>2551.36</x:v>
      </x:c>
      <x:c r="N207" s="24" t="n">
        <x:v>0</x:v>
      </x:c>
      <x:c r="O207" s="22" t="n">
        <x:v>1480.42</x:v>
      </x:c>
      <x:c r="P207" s="22" t="n">
        <x:f>L207*M207*(1-N207)</x:f>
        <x:v>2551.36</x:v>
      </x:c>
      <x:c r="Q207" s="22" t="n">
        <x:f>L207*O207</x:f>
        <x:v>1480.42</x:v>
      </x:c>
      <x:c r="R207" s="22" t="n">
        <x:f>P207-Q207</x:f>
        <x:v>1070.94</x:v>
      </x:c>
      <x:c r="S207" t="str">
        <x:v>Cash on Delivery</x:v>
      </x:c>
      <x:c r="T207" t="str">
        <x:v>Corporate</x:v>
      </x:c>
      <x:c r="U207" t="str">
        <x:v>Online</x:v>
      </x:c>
    </x:row>
    <x:row r="208">
      <x:c r="A208" t="str">
        <x:v>ORD0207</x:v>
      </x:c>
      <x:c r="B208" s="20" t="n">
        <x:v>45877</x:v>
      </x:c>
      <x:c r="C208" t="str">
        <x:v>Kavya Kumar</x:v>
      </x:c>
      <x:c r="D208" t="str">
        <x:v>Female</x:v>
      </x:c>
      <x:c r="E208" t="str">
        <x:v>36-45</x:v>
      </x:c>
      <x:c r="F208" t="str">
        <x:v>Lucknow</x:v>
      </x:c>
      <x:c r="G208" t="str">
        <x:v>Uttar Pradesh</x:v>
      </x:c>
      <x:c r="H208" t="str">
        <x:v>North</x:v>
      </x:c>
      <x:c r="I208" t="str">
        <x:v>Home &amp; Furniture</x:v>
      </x:c>
      <x:c r="J208" t="str">
        <x:v>Furniture</x:v>
      </x:c>
      <x:c r="K208" t="str">
        <x:v>Study Table</x:v>
      </x:c>
      <x:c r="L208" t="n">
        <x:v>3</x:v>
      </x:c>
      <x:c r="M208" s="22" t="n">
        <x:v>13264.3</x:v>
      </x:c>
      <x:c r="N208" s="24" t="n">
        <x:v>0</x:v>
      </x:c>
      <x:c r="O208" s="22" t="n">
        <x:v>8660.51</x:v>
      </x:c>
      <x:c r="P208" s="22" t="n">
        <x:f>L208*M208*(1-N208)</x:f>
        <x:v>39792.899999999994</x:v>
      </x:c>
      <x:c r="Q208" s="22" t="n">
        <x:f>L208*O208</x:f>
        <x:v>25981.53</x:v>
      </x:c>
      <x:c r="R208" s="22" t="n">
        <x:f>P208-Q208</x:f>
        <x:v>13811.369999999995</x:v>
      </x:c>
      <x:c r="S208" t="str">
        <x:v>Credit Card</x:v>
      </x:c>
      <x:c r="T208" t="str">
        <x:v>Consumer</x:v>
      </x:c>
      <x:c r="U208" t="str">
        <x:v>Mobile App</x:v>
      </x:c>
    </x:row>
    <x:row r="209">
      <x:c r="A209" t="str">
        <x:v>ORD0208</x:v>
      </x:c>
      <x:c r="B209" s="20" t="n">
        <x:v>45978</x:v>
      </x:c>
      <x:c r="C209" t="str">
        <x:v>Sneha Reddy</x:v>
      </x:c>
      <x:c r="D209" t="str">
        <x:v>Female</x:v>
      </x:c>
      <x:c r="E209" t="str">
        <x:v>26-35</x:v>
      </x:c>
      <x:c r="F209" t="str">
        <x:v>Bengaluru</x:v>
      </x:c>
      <x:c r="G209" t="str">
        <x:v>Karnataka</x:v>
      </x:c>
      <x:c r="H209" t="str">
        <x:v>South</x:v>
      </x:c>
      <x:c r="I209" t="str">
        <x:v>Fashion</x:v>
      </x:c>
      <x:c r="J209" t="str">
        <x:v>Women</x:v>
      </x:c>
      <x:c r="K209" t="str">
        <x:v>Kurti</x:v>
      </x:c>
      <x:c r="L209" t="n">
        <x:v>1</x:v>
      </x:c>
      <x:c r="M209" s="22" t="n">
        <x:v>1779.62</x:v>
      </x:c>
      <x:c r="N209" s="24" t="n">
        <x:v>0</x:v>
      </x:c>
      <x:c r="O209" s="22" t="n">
        <x:v>967.3</x:v>
      </x:c>
      <x:c r="P209" s="22" t="n">
        <x:f>L209*M209*(1-N209)</x:f>
        <x:v>1779.62</x:v>
      </x:c>
      <x:c r="Q209" s="22" t="n">
        <x:f>L209*O209</x:f>
        <x:v>967.3</x:v>
      </x:c>
      <x:c r="R209" s="22" t="n">
        <x:f>P209-Q209</x:f>
        <x:v>812.3199999999999</x:v>
      </x:c>
      <x:c r="S209" t="str">
        <x:v>Net Banking</x:v>
      </x:c>
      <x:c r="T209" t="str">
        <x:v>Home Office</x:v>
      </x:c>
      <x:c r="U209" t="str">
        <x:v>Mobile App</x:v>
      </x:c>
    </x:row>
    <x:row r="210">
      <x:c r="A210" t="str">
        <x:v>ORD0209</x:v>
      </x:c>
      <x:c r="B210" s="20" t="n">
        <x:v>45662</x:v>
      </x:c>
      <x:c r="C210" t="str">
        <x:v>Sneha Reddy</x:v>
      </x:c>
      <x:c r="D210" t="str">
        <x:v>Female</x:v>
      </x:c>
      <x:c r="E210" t="str">
        <x:v>46-60</x:v>
      </x:c>
      <x:c r="F210" t="str">
        <x:v>Visakhapatnam</x:v>
      </x:c>
      <x:c r="G210" t="str">
        <x:v>Andhra Pradesh</x:v>
      </x:c>
      <x:c r="H210" t="str">
        <x:v>South</x:v>
      </x:c>
      <x:c r="I210" t="str">
        <x:v>Electronics</x:v>
      </x:c>
      <x:c r="J210" t="str">
        <x:v>Headphones</x:v>
      </x:c>
      <x:c r="K210" t="str">
        <x:v>SoundMax Pro</x:v>
      </x:c>
      <x:c r="L210" t="n">
        <x:v>4</x:v>
      </x:c>
      <x:c r="M210" s="22" t="n">
        <x:v>4728.32</x:v>
      </x:c>
      <x:c r="N210" s="24" t="n">
        <x:v>0.2</x:v>
      </x:c>
      <x:c r="O210" s="22" t="n">
        <x:v>3117.16</x:v>
      </x:c>
      <x:c r="P210" s="22" t="n">
        <x:f>L210*M210*(1-N210)</x:f>
        <x:v>15130.624</x:v>
      </x:c>
      <x:c r="Q210" s="22" t="n">
        <x:f>L210*O210</x:f>
        <x:v>12468.64</x:v>
      </x:c>
      <x:c r="R210" s="22" t="n">
        <x:f>P210-Q210</x:f>
        <x:v>2661.9840000000004</x:v>
      </x:c>
      <x:c r="S210" t="str">
        <x:v>UPI</x:v>
      </x:c>
      <x:c r="T210" t="str">
        <x:v>Home Office</x:v>
      </x:c>
      <x:c r="U210" t="str">
        <x:v>Online</x:v>
      </x:c>
    </x:row>
    <x:row r="211">
      <x:c r="A211" t="str">
        <x:v>ORD0210</x:v>
      </x:c>
      <x:c r="B211" s="20" t="n">
        <x:v>45710</x:v>
      </x:c>
      <x:c r="C211" t="str">
        <x:v>Sai Reddy</x:v>
      </x:c>
      <x:c r="D211" t="str">
        <x:v>Female</x:v>
      </x:c>
      <x:c r="E211" t="str">
        <x:v>26-35</x:v>
      </x:c>
      <x:c r="F211" t="str">
        <x:v>Lucknow</x:v>
      </x:c>
      <x:c r="G211" t="str">
        <x:v>Uttar Pradesh</x:v>
      </x:c>
      <x:c r="H211" t="str">
        <x:v>North</x:v>
      </x:c>
      <x:c r="I211" t="str">
        <x:v>Fashion</x:v>
      </x:c>
      <x:c r="J211" t="str">
        <x:v>Footwear</x:v>
      </x:c>
      <x:c r="K211" t="str">
        <x:v>Running Shoes</x:v>
      </x:c>
      <x:c r="L211" t="n">
        <x:v>2</x:v>
      </x:c>
      <x:c r="M211" s="22" t="n">
        <x:v>3713.35</x:v>
      </x:c>
      <x:c r="N211" s="24" t="n">
        <x:v>0.2</x:v>
      </x:c>
      <x:c r="O211" s="22" t="n">
        <x:v>2136.13</x:v>
      </x:c>
      <x:c r="P211" s="22" t="n">
        <x:f>L211*M211*(1-N211)</x:f>
        <x:v>5941.360000000001</x:v>
      </x:c>
      <x:c r="Q211" s="22" t="n">
        <x:f>L211*O211</x:f>
        <x:v>4272.26</x:v>
      </x:c>
      <x:c r="R211" s="22" t="n">
        <x:f>P211-Q211</x:f>
        <x:v>1669.1000000000004</x:v>
      </x:c>
      <x:c r="S211" t="str">
        <x:v>Cash on Delivery</x:v>
      </x:c>
      <x:c r="T211" t="str">
        <x:v>Corporate</x:v>
      </x:c>
      <x:c r="U211" t="str">
        <x:v>Retail Store</x:v>
      </x:c>
    </x:row>
    <x:row r="212">
      <x:c r="A212" t="str">
        <x:v>ORD0211</x:v>
      </x:c>
      <x:c r="B212" s="20" t="n">
        <x:v>45767</x:v>
      </x:c>
      <x:c r="C212" t="str">
        <x:v>Sai Reddy</x:v>
      </x:c>
      <x:c r="D212" t="str">
        <x:v>Male</x:v>
      </x:c>
      <x:c r="E212" t="str">
        <x:v>36-45</x:v>
      </x:c>
      <x:c r="F212" t="str">
        <x:v>Vijayawada</x:v>
      </x:c>
      <x:c r="G212" t="str">
        <x:v>Andhra Pradesh</x:v>
      </x:c>
      <x:c r="H212" t="str">
        <x:v>South</x:v>
      </x:c>
      <x:c r="I212" t="str">
        <x:v>Home &amp; Furniture</x:v>
      </x:c>
      <x:c r="J212" t="str">
        <x:v>Appliances</x:v>
      </x:c>
      <x:c r="K212" t="str">
        <x:v>Air Fryer</x:v>
      </x:c>
      <x:c r="L212" t="n">
        <x:v>2</x:v>
      </x:c>
      <x:c r="M212" s="22" t="n">
        <x:v>7639.29</x:v>
      </x:c>
      <x:c r="N212" s="24" t="n">
        <x:v>0</x:v>
      </x:c>
      <x:c r="O212" s="22" t="n">
        <x:v>5076.49</x:v>
      </x:c>
      <x:c r="P212" s="22" t="n">
        <x:f>L212*M212*(1-N212)</x:f>
        <x:v>15278.58</x:v>
      </x:c>
      <x:c r="Q212" s="22" t="n">
        <x:f>L212*O212</x:f>
        <x:v>10152.98</x:v>
      </x:c>
      <x:c r="R212" s="22" t="n">
        <x:f>P212-Q212</x:f>
        <x:v>5125.6</x:v>
      </x:c>
      <x:c r="S212" t="str">
        <x:v>Cash on Delivery</x:v>
      </x:c>
      <x:c r="T212" t="str">
        <x:v>Corporate</x:v>
      </x:c>
      <x:c r="U212" t="str">
        <x:v>Online</x:v>
      </x:c>
    </x:row>
    <x:row r="213">
      <x:c r="A213" t="str">
        <x:v>ORD0212</x:v>
      </x:c>
      <x:c r="B213" s="20" t="n">
        <x:v>45784</x:v>
      </x:c>
      <x:c r="C213" t="str">
        <x:v>Aarav Kumar</x:v>
      </x:c>
      <x:c r="D213" t="str">
        <x:v>Female</x:v>
      </x:c>
      <x:c r="E213" t="str">
        <x:v>26-35</x:v>
      </x:c>
      <x:c r="F213" t="str">
        <x:v>Bhubaneswar</x:v>
      </x:c>
      <x:c r="G213" t="str">
        <x:v>Odisha</x:v>
      </x:c>
      <x:c r="H213" t="str">
        <x:v>East</x:v>
      </x:c>
      <x:c r="I213" t="str">
        <x:v>Fashion</x:v>
      </x:c>
      <x:c r="J213" t="str">
        <x:v>Men</x:v>
      </x:c>
      <x:c r="K213" t="str">
        <x:v>Casual Shirt</x:v>
      </x:c>
      <x:c r="L213" t="n">
        <x:v>5</x:v>
      </x:c>
      <x:c r="M213" s="22" t="n">
        <x:v>1535.53</x:v>
      </x:c>
      <x:c r="N213" s="24" t="n">
        <x:v>0.05</x:v>
      </x:c>
      <x:c r="O213" s="22" t="n">
        <x:v>907.27</x:v>
      </x:c>
      <x:c r="P213" s="22" t="n">
        <x:f>L213*M213*(1-N213)</x:f>
        <x:v>7293.767499999999</x:v>
      </x:c>
      <x:c r="Q213" s="22" t="n">
        <x:f>L213*O213</x:f>
        <x:v>4536.35</x:v>
      </x:c>
      <x:c r="R213" s="22" t="n">
        <x:f>P213-Q213</x:f>
        <x:v>2757.4174999999987</x:v>
      </x:c>
      <x:c r="S213" t="str">
        <x:v>Cash on Delivery</x:v>
      </x:c>
      <x:c r="T213" t="str">
        <x:v>Corporate</x:v>
      </x:c>
      <x:c r="U213" t="str">
        <x:v>Retail Store</x:v>
      </x:c>
    </x:row>
    <x:row r="214">
      <x:c r="A214" t="str">
        <x:v>ORD0213</x:v>
      </x:c>
      <x:c r="B214" s="20" t="n">
        <x:v>45685</x:v>
      </x:c>
      <x:c r="C214" t="str">
        <x:v>Aarav Singh</x:v>
      </x:c>
      <x:c r="D214" t="str">
        <x:v>Male</x:v>
      </x:c>
      <x:c r="E214" t="str">
        <x:v>26-35</x:v>
      </x:c>
      <x:c r="F214" t="str">
        <x:v>Delhi</x:v>
      </x:c>
      <x:c r="G214" t="str">
        <x:v>Delhi</x:v>
      </x:c>
      <x:c r="H214" t="str">
        <x:v>North</x:v>
      </x:c>
      <x:c r="I214" t="str">
        <x:v>Home &amp; Furniture</x:v>
      </x:c>
      <x:c r="J214" t="str">
        <x:v>Appliances</x:v>
      </x:c>
      <x:c r="K214" t="str">
        <x:v>Air Fryer</x:v>
      </x:c>
      <x:c r="L214" t="n">
        <x:v>5</x:v>
      </x:c>
      <x:c r="M214" s="22" t="n">
        <x:v>7363.06</x:v>
      </x:c>
      <x:c r="N214" s="24" t="n">
        <x:v>0</x:v>
      </x:c>
      <x:c r="O214" s="22" t="n">
        <x:v>4994.36</x:v>
      </x:c>
      <x:c r="P214" s="22" t="n">
        <x:f>L214*M214*(1-N214)</x:f>
        <x:v>36815.3</x:v>
      </x:c>
      <x:c r="Q214" s="22" t="n">
        <x:f>L214*O214</x:f>
        <x:v>24971.8</x:v>
      </x:c>
      <x:c r="R214" s="22" t="n">
        <x:f>P214-Q214</x:f>
        <x:v>11843.500000000004</x:v>
      </x:c>
      <x:c r="S214" t="str">
        <x:v>Cash on Delivery</x:v>
      </x:c>
      <x:c r="T214" t="str">
        <x:v>Home Office</x:v>
      </x:c>
      <x:c r="U214" t="str">
        <x:v>Mobile App</x:v>
      </x:c>
    </x:row>
    <x:row r="215">
      <x:c r="A215" t="str">
        <x:v>ORD0214</x:v>
      </x:c>
      <x:c r="B215" s="20" t="n">
        <x:v>45845</x:v>
      </x:c>
      <x:c r="C215" t="str">
        <x:v>Aarav Kumar</x:v>
      </x:c>
      <x:c r="D215" t="str">
        <x:v>Female</x:v>
      </x:c>
      <x:c r="E215" t="str">
        <x:v>18-25</x:v>
      </x:c>
      <x:c r="F215" t="str">
        <x:v>Vijayawada</x:v>
      </x:c>
      <x:c r="G215" t="str">
        <x:v>Andhra Pradesh</x:v>
      </x:c>
      <x:c r="H215" t="str">
        <x:v>South</x:v>
      </x:c>
      <x:c r="I215" t="str">
        <x:v>Home &amp; Furniture</x:v>
      </x:c>
      <x:c r="J215" t="str">
        <x:v>Appliances</x:v>
      </x:c>
      <x:c r="K215" t="str">
        <x:v>Air Fryer</x:v>
      </x:c>
      <x:c r="L215" t="n">
        <x:v>1</x:v>
      </x:c>
      <x:c r="M215" s="22" t="n">
        <x:v>8045.34</x:v>
      </x:c>
      <x:c r="N215" s="24" t="n">
        <x:v>0.15</x:v>
      </x:c>
      <x:c r="O215" s="22" t="n">
        <x:v>5210.31</x:v>
      </x:c>
      <x:c r="P215" s="22" t="n">
        <x:f>L215*M215*(1-N215)</x:f>
        <x:v>6838.539</x:v>
      </x:c>
      <x:c r="Q215" s="22" t="n">
        <x:f>L215*O215</x:f>
        <x:v>5210.31</x:v>
      </x:c>
      <x:c r="R215" s="22" t="n">
        <x:f>P215-Q215</x:f>
        <x:v>1628.2289999999994</x:v>
      </x:c>
      <x:c r="S215" t="str">
        <x:v>UPI</x:v>
      </x:c>
      <x:c r="T215" t="str">
        <x:v>Corporate</x:v>
      </x:c>
      <x:c r="U215" t="str">
        <x:v>Retail Store</x:v>
      </x:c>
    </x:row>
    <x:row r="216">
      <x:c r="A216" t="str">
        <x:v>ORD0215</x:v>
      </x:c>
      <x:c r="B216" s="20" t="n">
        <x:v>45804</x:v>
      </x:c>
      <x:c r="C216" t="str">
        <x:v>Sai Kumar</x:v>
      </x:c>
      <x:c r="D216" t="str">
        <x:v>Female</x:v>
      </x:c>
      <x:c r="E216" t="str">
        <x:v>36-45</x:v>
      </x:c>
      <x:c r="F216" t="str">
        <x:v>Jaipur</x:v>
      </x:c>
      <x:c r="G216" t="str">
        <x:v>Rajasthan</x:v>
      </x:c>
      <x:c r="H216" t="str">
        <x:v>North</x:v>
      </x:c>
      <x:c r="I216" t="str">
        <x:v>Beauty</x:v>
      </x:c>
      <x:c r="J216" t="str">
        <x:v>Haircare</x:v>
      </x:c>
      <x:c r="K216" t="str">
        <x:v>Hair Dryer</x:v>
      </x:c>
      <x:c r="L216" t="n">
        <x:v>5</x:v>
      </x:c>
      <x:c r="M216" s="22" t="n">
        <x:v>2477.5</x:v>
      </x:c>
      <x:c r="N216" s="24" t="n">
        <x:v>0.15</x:v>
      </x:c>
      <x:c r="O216" s="22" t="n">
        <x:v>1401.56</x:v>
      </x:c>
      <x:c r="P216" s="22" t="n">
        <x:f>L216*M216*(1-N216)</x:f>
        <x:v>10529.375</x:v>
      </x:c>
      <x:c r="Q216" s="22" t="n">
        <x:f>L216*O216</x:f>
        <x:v>7007.799999999999</x:v>
      </x:c>
      <x:c r="R216" s="22" t="n">
        <x:f>P216-Q216</x:f>
        <x:v>3521.5750000000007</x:v>
      </x:c>
      <x:c r="S216" t="str">
        <x:v>UPI</x:v>
      </x:c>
      <x:c r="T216" t="str">
        <x:v>Home Office</x:v>
      </x:c>
      <x:c r="U216" t="str">
        <x:v>Online</x:v>
      </x:c>
    </x:row>
    <x:row r="217">
      <x:c r="A217" t="str">
        <x:v>ORD0216</x:v>
      </x:c>
      <x:c r="B217" s="20" t="n">
        <x:v>45737</x:v>
      </x:c>
      <x:c r="C217" t="str">
        <x:v>Sree Patel</x:v>
      </x:c>
      <x:c r="D217" t="str">
        <x:v>Female</x:v>
      </x:c>
      <x:c r="E217" t="str">
        <x:v>26-35</x:v>
      </x:c>
      <x:c r="F217" t="str">
        <x:v>Kolkata</x:v>
      </x:c>
      <x:c r="G217" t="str">
        <x:v>West Bengal</x:v>
      </x:c>
      <x:c r="H217" t="str">
        <x:v>East</x:v>
      </x:c>
      <x:c r="I217" t="str">
        <x:v>Fashion</x:v>
      </x:c>
      <x:c r="J217" t="str">
        <x:v>Accessories</x:v>
      </x:c>
      <x:c r="K217" t="str">
        <x:v>Backpack</x:v>
      </x:c>
      <x:c r="L217" t="n">
        <x:v>1</x:v>
      </x:c>
      <x:c r="M217" s="22" t="n">
        <x:v>2230.43</x:v>
      </x:c>
      <x:c r="N217" s="24" t="n">
        <x:v>0.05</x:v>
      </x:c>
      <x:c r="O217" s="22" t="n">
        <x:v>1327.38</x:v>
      </x:c>
      <x:c r="P217" s="22" t="n">
        <x:f>L217*M217*(1-N217)</x:f>
        <x:v>2118.9084999999995</x:v>
      </x:c>
      <x:c r="Q217" s="22" t="n">
        <x:f>L217*O217</x:f>
        <x:v>1327.38</x:v>
      </x:c>
      <x:c r="R217" s="22" t="n">
        <x:f>P217-Q217</x:f>
        <x:v>791.5284999999994</x:v>
      </x:c>
      <x:c r="S217" t="str">
        <x:v>UPI</x:v>
      </x:c>
      <x:c r="T217" t="str">
        <x:v>Corporate</x:v>
      </x:c>
      <x:c r="U217" t="str">
        <x:v>Online</x:v>
      </x:c>
    </x:row>
    <x:row r="218">
      <x:c r="A218" t="str">
        <x:v>ORD0217</x:v>
      </x:c>
      <x:c r="B218" s="20" t="n">
        <x:v>45890</x:v>
      </x:c>
      <x:c r="C218" t="str">
        <x:v>Sai Sharma</x:v>
      </x:c>
      <x:c r="D218" t="str">
        <x:v>Female</x:v>
      </x:c>
      <x:c r="E218" t="str">
        <x:v>46-60</x:v>
      </x:c>
      <x:c r="F218" t="str">
        <x:v>Hyderabad</x:v>
      </x:c>
      <x:c r="G218" t="str">
        <x:v>Telangana</x:v>
      </x:c>
      <x:c r="H218" t="str">
        <x:v>South</x:v>
      </x:c>
      <x:c r="I218" t="str">
        <x:v>Electronics</x:v>
      </x:c>
      <x:c r="J218" t="str">
        <x:v>Headphones</x:v>
      </x:c>
      <x:c r="K218" t="str">
        <x:v>SoundMax Pro</x:v>
      </x:c>
      <x:c r="L218" t="n">
        <x:v>2</x:v>
      </x:c>
      <x:c r="M218" s="22" t="n">
        <x:v>4619.58</x:v>
      </x:c>
      <x:c r="N218" s="24" t="n">
        <x:v>0</x:v>
      </x:c>
      <x:c r="O218" s="22" t="n">
        <x:v>3037.93</x:v>
      </x:c>
      <x:c r="P218" s="22" t="n">
        <x:f>L218*M218*(1-N218)</x:f>
        <x:v>9239.16</x:v>
      </x:c>
      <x:c r="Q218" s="22" t="n">
        <x:f>L218*O218</x:f>
        <x:v>6075.86</x:v>
      </x:c>
      <x:c r="R218" s="22" t="n">
        <x:f>P218-Q218</x:f>
        <x:v>3163.3</x:v>
      </x:c>
      <x:c r="S218" t="str">
        <x:v>Debit Card</x:v>
      </x:c>
      <x:c r="T218" t="str">
        <x:v>Home Office</x:v>
      </x:c>
      <x:c r="U218" t="str">
        <x:v>Retail Store</x:v>
      </x:c>
    </x:row>
    <x:row r="219">
      <x:c r="A219" t="str">
        <x:v>ORD0218</x:v>
      </x:c>
      <x:c r="B219" s="20" t="n">
        <x:v>45790</x:v>
      </x:c>
      <x:c r="C219" t="str">
        <x:v>Aarav Singh</x:v>
      </x:c>
      <x:c r="D219" t="str">
        <x:v>Male</x:v>
      </x:c>
      <x:c r="E219" t="str">
        <x:v>36-45</x:v>
      </x:c>
      <x:c r="F219" t="str">
        <x:v>Vijayawada</x:v>
      </x:c>
      <x:c r="G219" t="str">
        <x:v>Andhra Pradesh</x:v>
      </x:c>
      <x:c r="H219" t="str">
        <x:v>South</x:v>
      </x:c>
      <x:c r="I219" t="str">
        <x:v>Home &amp; Furniture</x:v>
      </x:c>
      <x:c r="J219" t="str">
        <x:v>Appliances</x:v>
      </x:c>
      <x:c r="K219" t="str">
        <x:v>Mixer Grinder</x:v>
      </x:c>
      <x:c r="L219" t="n">
        <x:v>3</x:v>
      </x:c>
      <x:c r="M219" s="22" t="n">
        <x:v>3949.3</x:v>
      </x:c>
      <x:c r="N219" s="24" t="n">
        <x:v>0.2</x:v>
      </x:c>
      <x:c r="O219" s="22" t="n">
        <x:v>2965.22</x:v>
      </x:c>
      <x:c r="P219" s="22" t="n">
        <x:f>L219*M219*(1-N219)</x:f>
        <x:v>9478.320000000002</x:v>
      </x:c>
      <x:c r="Q219" s="22" t="n">
        <x:f>L219*O219</x:f>
        <x:v>8895.66</x:v>
      </x:c>
      <x:c r="R219" s="22" t="n">
        <x:f>P219-Q219</x:f>
        <x:v>582.6600000000017</x:v>
      </x:c>
      <x:c r="S219" t="str">
        <x:v>Net Banking</x:v>
      </x:c>
      <x:c r="T219" t="str">
        <x:v>Consumer</x:v>
      </x:c>
      <x:c r="U219" t="str">
        <x:v>Mobile App</x:v>
      </x:c>
    </x:row>
    <x:row r="220">
      <x:c r="A220" t="str">
        <x:v>ORD0219</x:v>
      </x:c>
      <x:c r="B220" s="20" t="n">
        <x:v>46022</x:v>
      </x:c>
      <x:c r="C220" t="str">
        <x:v>Kavya Rao</x:v>
      </x:c>
      <x:c r="D220" t="str">
        <x:v>Male</x:v>
      </x:c>
      <x:c r="E220" t="str">
        <x:v>18-25</x:v>
      </x:c>
      <x:c r="F220" t="str">
        <x:v>Visakhapatnam</x:v>
      </x:c>
      <x:c r="G220" t="str">
        <x:v>Andhra Pradesh</x:v>
      </x:c>
      <x:c r="H220" t="str">
        <x:v>South</x:v>
      </x:c>
      <x:c r="I220" t="str">
        <x:v>Electronics</x:v>
      </x:c>
      <x:c r="J220" t="str">
        <x:v>Smartwatch</x:v>
      </x:c>
      <x:c r="K220" t="str">
        <x:v>FitTime S2</x:v>
      </x:c>
      <x:c r="L220" t="n">
        <x:v>4</x:v>
      </x:c>
      <x:c r="M220" s="22" t="n">
        <x:v>7942.65</x:v>
      </x:c>
      <x:c r="N220" s="24" t="n">
        <x:v>0.15</x:v>
      </x:c>
      <x:c r="O220" s="22" t="n">
        <x:v>5537.34</x:v>
      </x:c>
      <x:c r="P220" s="22" t="n">
        <x:f>L220*M220*(1-N220)</x:f>
        <x:v>27005.01</x:v>
      </x:c>
      <x:c r="Q220" s="22" t="n">
        <x:f>L220*O220</x:f>
        <x:v>22149.36</x:v>
      </x:c>
      <x:c r="R220" s="22" t="n">
        <x:f>P220-Q220</x:f>
        <x:v>4855.649999999998</x:v>
      </x:c>
      <x:c r="S220" t="str">
        <x:v>Net Banking</x:v>
      </x:c>
      <x:c r="T220" t="str">
        <x:v>Home Office</x:v>
      </x:c>
      <x:c r="U220" t="str">
        <x:v>Retail Store</x:v>
      </x:c>
    </x:row>
    <x:row r="221">
      <x:c r="A221" t="str">
        <x:v>ORD0220</x:v>
      </x:c>
      <x:c r="B221" s="20" t="n">
        <x:v>45717</x:v>
      </x:c>
      <x:c r="C221" t="str">
        <x:v>Kavya Naidu</x:v>
      </x:c>
      <x:c r="D221" t="str">
        <x:v>Female</x:v>
      </x:c>
      <x:c r="E221" t="str">
        <x:v>26-35</x:v>
      </x:c>
      <x:c r="F221" t="str">
        <x:v>Ahmedabad</x:v>
      </x:c>
      <x:c r="G221" t="str">
        <x:v>Gujarat</x:v>
      </x:c>
      <x:c r="H221" t="str">
        <x:v>West</x:v>
      </x:c>
      <x:c r="I221" t="str">
        <x:v>Home &amp; Furniture</x:v>
      </x:c>
      <x:c r="J221" t="str">
        <x:v>Furniture</x:v>
      </x:c>
      <x:c r="K221" t="str">
        <x:v>Office Chair</x:v>
      </x:c>
      <x:c r="L221" t="n">
        <x:v>2</x:v>
      </x:c>
      <x:c r="M221" s="22" t="n">
        <x:v>8343.41</x:v>
      </x:c>
      <x:c r="N221" s="24" t="n">
        <x:v>0</x:v>
      </x:c>
      <x:c r="O221" s="22" t="n">
        <x:v>6380.01</x:v>
      </x:c>
      <x:c r="P221" s="22" t="n">
        <x:f>L221*M221*(1-N221)</x:f>
        <x:v>16686.82</x:v>
      </x:c>
      <x:c r="Q221" s="22" t="n">
        <x:f>L221*O221</x:f>
        <x:v>12760.02</x:v>
      </x:c>
      <x:c r="R221" s="22" t="n">
        <x:f>P221-Q221</x:f>
        <x:v>3926.7999999999993</x:v>
      </x:c>
      <x:c r="S221" t="str">
        <x:v>UPI</x:v>
      </x:c>
      <x:c r="T221" t="str">
        <x:v>Home Office</x:v>
      </x:c>
      <x:c r="U221" t="str">
        <x:v>Retail Store</x:v>
      </x:c>
    </x:row>
    <x:row r="222">
      <x:c r="A222" t="str">
        <x:v>ORD0221</x:v>
      </x:c>
      <x:c r="B222" s="20" t="n">
        <x:v>45993</x:v>
      </x:c>
      <x:c r="C222" t="str">
        <x:v>Nikhil Singh</x:v>
      </x:c>
      <x:c r="D222" t="str">
        <x:v>Female</x:v>
      </x:c>
      <x:c r="E222" t="str">
        <x:v>18-25</x:v>
      </x:c>
      <x:c r="F222" t="str">
        <x:v>Vijayawada</x:v>
      </x:c>
      <x:c r="G222" t="str">
        <x:v>Andhra Pradesh</x:v>
      </x:c>
      <x:c r="H222" t="str">
        <x:v>South</x:v>
      </x:c>
      <x:c r="I222" t="str">
        <x:v>Beauty</x:v>
      </x:c>
      <x:c r="J222" t="str">
        <x:v>Skincare</x:v>
      </x:c>
      <x:c r="K222" t="str">
        <x:v>Face Serum</x:v>
      </x:c>
      <x:c r="L222" t="n">
        <x:v>3</x:v>
      </x:c>
      <x:c r="M222" s="22" t="n">
        <x:v>1068.64</x:v>
      </x:c>
      <x:c r="N222" s="24" t="n">
        <x:v>0.05</x:v>
      </x:c>
      <x:c r="O222" s="22" t="n">
        <x:v>595.98</x:v>
      </x:c>
      <x:c r="P222" s="22" t="n">
        <x:f>L222*M222*(1-N222)</x:f>
        <x:v>3045.624</x:v>
      </x:c>
      <x:c r="Q222" s="22" t="n">
        <x:f>L222*O222</x:f>
        <x:v>1787.94</x:v>
      </x:c>
      <x:c r="R222" s="22" t="n">
        <x:f>P222-Q222</x:f>
        <x:v>1257.6839999999997</x:v>
      </x:c>
      <x:c r="S222" t="str">
        <x:v>Credit Card</x:v>
      </x:c>
      <x:c r="T222" t="str">
        <x:v>Consumer</x:v>
      </x:c>
      <x:c r="U222" t="str">
        <x:v>Retail Store</x:v>
      </x:c>
    </x:row>
    <x:row r="223">
      <x:c r="A223" t="str">
        <x:v>ORD0222</x:v>
      </x:c>
      <x:c r="B223" s="20" t="n">
        <x:v>45681</x:v>
      </x:c>
      <x:c r="C223" t="str">
        <x:v>Ravi Verma</x:v>
      </x:c>
      <x:c r="D223" t="str">
        <x:v>Female</x:v>
      </x:c>
      <x:c r="E223" t="str">
        <x:v>36-45</x:v>
      </x:c>
      <x:c r="F223" t="str">
        <x:v>Vijayawada</x:v>
      </x:c>
      <x:c r="G223" t="str">
        <x:v>Andhra Pradesh</x:v>
      </x:c>
      <x:c r="H223" t="str">
        <x:v>South</x:v>
      </x:c>
      <x:c r="I223" t="str">
        <x:v>Beauty</x:v>
      </x:c>
      <x:c r="J223" t="str">
        <x:v>Skincare</x:v>
      </x:c>
      <x:c r="K223" t="str">
        <x:v>Face Serum</x:v>
      </x:c>
      <x:c r="L223" t="n">
        <x:v>3</x:v>
      </x:c>
      <x:c r="M223" s="22" t="n">
        <x:v>1166.35</x:v>
      </x:c>
      <x:c r="N223" s="24" t="n">
        <x:v>0.05</x:v>
      </x:c>
      <x:c r="O223" s="22" t="n">
        <x:v>617.57</x:v>
      </x:c>
      <x:c r="P223" s="22" t="n">
        <x:f>L223*M223*(1-N223)</x:f>
        <x:v>3324.0974999999994</x:v>
      </x:c>
      <x:c r="Q223" s="22" t="n">
        <x:f>L223*O223</x:f>
        <x:v>1852.71</x:v>
      </x:c>
      <x:c r="R223" s="22" t="n">
        <x:f>P223-Q223</x:f>
        <x:v>1471.3874999999994</x:v>
      </x:c>
      <x:c r="S223" t="str">
        <x:v>Credit Card</x:v>
      </x:c>
      <x:c r="T223" t="str">
        <x:v>Corporate</x:v>
      </x:c>
      <x:c r="U223" t="str">
        <x:v>Retail Store</x:v>
      </x:c>
    </x:row>
    <x:row r="224">
      <x:c r="A224" t="str">
        <x:v>ORD0223</x:v>
      </x:c>
      <x:c r="B224" s="20" t="n">
        <x:v>45813</x:v>
      </x:c>
      <x:c r="C224" t="str">
        <x:v>Rohit Rao</x:v>
      </x:c>
      <x:c r="D224" t="str">
        <x:v>Female</x:v>
      </x:c>
      <x:c r="E224" t="str">
        <x:v>46-60</x:v>
      </x:c>
      <x:c r="F224" t="str">
        <x:v>Delhi</x:v>
      </x:c>
      <x:c r="G224" t="str">
        <x:v>Delhi</x:v>
      </x:c>
      <x:c r="H224" t="str">
        <x:v>North</x:v>
      </x:c>
      <x:c r="I224" t="str">
        <x:v>Home &amp; Furniture</x:v>
      </x:c>
      <x:c r="J224" t="str">
        <x:v>Appliances</x:v>
      </x:c>
      <x:c r="K224" t="str">
        <x:v>Air Fryer</x:v>
      </x:c>
      <x:c r="L224" t="n">
        <x:v>2</x:v>
      </x:c>
      <x:c r="M224" s="22" t="n">
        <x:v>7341.93</x:v>
      </x:c>
      <x:c r="N224" s="24" t="n">
        <x:v>0.2</x:v>
      </x:c>
      <x:c r="O224" s="22" t="n">
        <x:v>5292.52</x:v>
      </x:c>
      <x:c r="P224" s="22" t="n">
        <x:f>L224*M224*(1-N224)</x:f>
        <x:v>11747.088000000002</x:v>
      </x:c>
      <x:c r="Q224" s="22" t="n">
        <x:f>L224*O224</x:f>
        <x:v>10585.04</x:v>
      </x:c>
      <x:c r="R224" s="22" t="n">
        <x:f>P224-Q224</x:f>
        <x:v>1162.0480000000007</x:v>
      </x:c>
      <x:c r="S224" t="str">
        <x:v>UPI</x:v>
      </x:c>
      <x:c r="T224" t="str">
        <x:v>Consumer</x:v>
      </x:c>
      <x:c r="U224" t="str">
        <x:v>Retail Store</x:v>
      </x:c>
    </x:row>
    <x:row r="225">
      <x:c r="A225" t="str">
        <x:v>ORD0224</x:v>
      </x:c>
      <x:c r="B225" s="20" t="n">
        <x:v>45835</x:v>
      </x:c>
      <x:c r="C225" t="str">
        <x:v>Meena Patel</x:v>
      </x:c>
      <x:c r="D225" t="str">
        <x:v>Male</x:v>
      </x:c>
      <x:c r="E225" t="str">
        <x:v>46-60</x:v>
      </x:c>
      <x:c r="F225" t="str">
        <x:v>Bengaluru</x:v>
      </x:c>
      <x:c r="G225" t="str">
        <x:v>Karnataka</x:v>
      </x:c>
      <x:c r="H225" t="str">
        <x:v>South</x:v>
      </x:c>
      <x:c r="I225" t="str">
        <x:v>Electronics</x:v>
      </x:c>
      <x:c r="J225" t="str">
        <x:v>Headphones</x:v>
      </x:c>
      <x:c r="K225" t="str">
        <x:v>SoundMax Pro</x:v>
      </x:c>
      <x:c r="L225" t="n">
        <x:v>3</x:v>
      </x:c>
      <x:c r="M225" s="22" t="n">
        <x:v>4141.05</x:v>
      </x:c>
      <x:c r="N225" s="24" t="n">
        <x:v>0</x:v>
      </x:c>
      <x:c r="O225" s="22" t="n">
        <x:v>3037.75</x:v>
      </x:c>
      <x:c r="P225" s="22" t="n">
        <x:f>L225*M225*(1-N225)</x:f>
        <x:v>12423.150000000001</x:v>
      </x:c>
      <x:c r="Q225" s="22" t="n">
        <x:f>L225*O225</x:f>
        <x:v>9113.25</x:v>
      </x:c>
      <x:c r="R225" s="22" t="n">
        <x:f>P225-Q225</x:f>
        <x:v>3309.9000000000015</x:v>
      </x:c>
      <x:c r="S225" t="str">
        <x:v>UPI</x:v>
      </x:c>
      <x:c r="T225" t="str">
        <x:v>Consumer</x:v>
      </x:c>
      <x:c r="U225" t="str">
        <x:v>Retail Store</x:v>
      </x:c>
    </x:row>
    <x:row r="226">
      <x:c r="A226" t="str">
        <x:v>ORD0225</x:v>
      </x:c>
      <x:c r="B226" s="20" t="n">
        <x:v>45801</x:v>
      </x:c>
      <x:c r="C226" t="str">
        <x:v>Kavya Verma</x:v>
      </x:c>
      <x:c r="D226" t="str">
        <x:v>Female</x:v>
      </x:c>
      <x:c r="E226" t="str">
        <x:v>18-25</x:v>
      </x:c>
      <x:c r="F226" t="str">
        <x:v>Kolkata</x:v>
      </x:c>
      <x:c r="G226" t="str">
        <x:v>West Bengal</x:v>
      </x:c>
      <x:c r="H226" t="str">
        <x:v>East</x:v>
      </x:c>
      <x:c r="I226" t="str">
        <x:v>Electronics</x:v>
      </x:c>
      <x:c r="J226" t="str">
        <x:v>Laptop</x:v>
      </x:c>
      <x:c r="K226" t="str">
        <x:v>AeroBook 14</x:v>
      </x:c>
      <x:c r="L226" t="n">
        <x:v>5</x:v>
      </x:c>
      <x:c r="M226" s="22" t="n">
        <x:v>66179.04</x:v>
      </x:c>
      <x:c r="N226" s="24" t="n">
        <x:v>0.1</x:v>
      </x:c>
      <x:c r="O226" s="22" t="n">
        <x:v>51589.15</x:v>
      </x:c>
      <x:c r="P226" s="22" t="n">
        <x:f>L226*M226*(1-N226)</x:f>
        <x:v>297805.68</x:v>
      </x:c>
      <x:c r="Q226" s="22" t="n">
        <x:f>L226*O226</x:f>
        <x:v>257945.75</x:v>
      </x:c>
      <x:c r="R226" s="22" t="n">
        <x:f>P226-Q226</x:f>
        <x:v>39859.92999999999</x:v>
      </x:c>
      <x:c r="S226" t="str">
        <x:v>Net Banking</x:v>
      </x:c>
      <x:c r="T226" t="str">
        <x:v>Consumer</x:v>
      </x:c>
      <x:c r="U226" t="str">
        <x:v>Retail Store</x:v>
      </x:c>
    </x:row>
    <x:row r="227">
      <x:c r="A227" t="str">
        <x:v>ORD0226</x:v>
      </x:c>
      <x:c r="B227" s="20" t="n">
        <x:v>45859</x:v>
      </x:c>
      <x:c r="C227" t="str">
        <x:v>Priya Naidu</x:v>
      </x:c>
      <x:c r="D227" t="str">
        <x:v>Male</x:v>
      </x:c>
      <x:c r="E227" t="str">
        <x:v>36-45</x:v>
      </x:c>
      <x:c r="F227" t="str">
        <x:v>Chennai</x:v>
      </x:c>
      <x:c r="G227" t="str">
        <x:v>Tamil Nadu</x:v>
      </x:c>
      <x:c r="H227" t="str">
        <x:v>South</x:v>
      </x:c>
      <x:c r="I227" t="str">
        <x:v>Electronics</x:v>
      </x:c>
      <x:c r="J227" t="str">
        <x:v>Laptop</x:v>
      </x:c>
      <x:c r="K227" t="str">
        <x:v>AeroBook 14</x:v>
      </x:c>
      <x:c r="L227" t="n">
        <x:v>2</x:v>
      </x:c>
      <x:c r="M227" s="22" t="n">
        <x:v>61355.03</x:v>
      </x:c>
      <x:c r="N227" s="24" t="n">
        <x:v>0.05</x:v>
      </x:c>
      <x:c r="O227" s="22" t="n">
        <x:v>51856.87</x:v>
      </x:c>
      <x:c r="P227" s="22" t="n">
        <x:f>L227*M227*(1-N227)</x:f>
        <x:v>116574.55699999999</x:v>
      </x:c>
      <x:c r="Q227" s="22" t="n">
        <x:f>L227*O227</x:f>
        <x:v>103713.74</x:v>
      </x:c>
      <x:c r="R227" s="22" t="n">
        <x:f>P227-Q227</x:f>
        <x:v>12860.81699999998</x:v>
      </x:c>
      <x:c r="S227" t="str">
        <x:v>Cash on Delivery</x:v>
      </x:c>
      <x:c r="T227" t="str">
        <x:v>Corporate</x:v>
      </x:c>
      <x:c r="U227" t="str">
        <x:v>Online</x:v>
      </x:c>
    </x:row>
    <x:row r="228">
      <x:c r="A228" t="str">
        <x:v>ORD0227</x:v>
      </x:c>
      <x:c r="B228" s="20" t="n">
        <x:v>45696</x:v>
      </x:c>
      <x:c r="C228" t="str">
        <x:v>Pooja Verma</x:v>
      </x:c>
      <x:c r="D228" t="str">
        <x:v>Male</x:v>
      </x:c>
      <x:c r="E228" t="str">
        <x:v>46-60</x:v>
      </x:c>
      <x:c r="F228" t="str">
        <x:v>Visakhapatnam</x:v>
      </x:c>
      <x:c r="G228" t="str">
        <x:v>Andhra Pradesh</x:v>
      </x:c>
      <x:c r="H228" t="str">
        <x:v>South</x:v>
      </x:c>
      <x:c r="I228" t="str">
        <x:v>Home &amp; Furniture</x:v>
      </x:c>
      <x:c r="J228" t="str">
        <x:v>Furniture</x:v>
      </x:c>
      <x:c r="K228" t="str">
        <x:v>Study Table</x:v>
      </x:c>
      <x:c r="L228" t="n">
        <x:v>2</x:v>
      </x:c>
      <x:c r="M228" s="22" t="n">
        <x:v>13059.87</x:v>
      </x:c>
      <x:c r="N228" s="24" t="n">
        <x:v>0</x:v>
      </x:c>
      <x:c r="O228" s="22" t="n">
        <x:v>8859.63</x:v>
      </x:c>
      <x:c r="P228" s="22" t="n">
        <x:f>L228*M228*(1-N228)</x:f>
        <x:v>26119.74</x:v>
      </x:c>
      <x:c r="Q228" s="22" t="n">
        <x:f>L228*O228</x:f>
        <x:v>17719.26</x:v>
      </x:c>
      <x:c r="R228" s="22" t="n">
        <x:f>P228-Q228</x:f>
        <x:v>8400.480000000003</x:v>
      </x:c>
      <x:c r="S228" t="str">
        <x:v>UPI</x:v>
      </x:c>
      <x:c r="T228" t="str">
        <x:v>Home Office</x:v>
      </x:c>
      <x:c r="U228" t="str">
        <x:v>Mobile App</x:v>
      </x:c>
    </x:row>
    <x:row r="229">
      <x:c r="A229" t="str">
        <x:v>ORD0228</x:v>
      </x:c>
      <x:c r="B229" s="20" t="n">
        <x:v>45764</x:v>
      </x:c>
      <x:c r="C229" t="str">
        <x:v>Ananya Das</x:v>
      </x:c>
      <x:c r="D229" t="str">
        <x:v>Female</x:v>
      </x:c>
      <x:c r="E229" t="str">
        <x:v>26-35</x:v>
      </x:c>
      <x:c r="F229" t="str">
        <x:v>Bhubaneswar</x:v>
      </x:c>
      <x:c r="G229" t="str">
        <x:v>Odisha</x:v>
      </x:c>
      <x:c r="H229" t="str">
        <x:v>East</x:v>
      </x:c>
      <x:c r="I229" t="str">
        <x:v>Beauty</x:v>
      </x:c>
      <x:c r="J229" t="str">
        <x:v>Haircare</x:v>
      </x:c>
      <x:c r="K229" t="str">
        <x:v>Hair Dryer</x:v>
      </x:c>
      <x:c r="L229" t="n">
        <x:v>1</x:v>
      </x:c>
      <x:c r="M229" s="22" t="n">
        <x:v>2385.93</x:v>
      </x:c>
      <x:c r="N229" s="24" t="n">
        <x:v>0</x:v>
      </x:c>
      <x:c r="O229" s="22" t="n">
        <x:v>1490.89</x:v>
      </x:c>
      <x:c r="P229" s="22" t="n">
        <x:f>L229*M229*(1-N229)</x:f>
        <x:v>2385.93</x:v>
      </x:c>
      <x:c r="Q229" s="22" t="n">
        <x:f>L229*O229</x:f>
        <x:v>1490.89</x:v>
      </x:c>
      <x:c r="R229" s="22" t="n">
        <x:f>P229-Q229</x:f>
        <x:v>895.0399999999997</x:v>
      </x:c>
      <x:c r="S229" t="str">
        <x:v>Debit Card</x:v>
      </x:c>
      <x:c r="T229" t="str">
        <x:v>Consumer</x:v>
      </x:c>
      <x:c r="U229" t="str">
        <x:v>Online</x:v>
      </x:c>
    </x:row>
    <x:row r="230">
      <x:c r="A230" t="str">
        <x:v>ORD0229</x:v>
      </x:c>
      <x:c r="B230" s="20" t="n">
        <x:v>46022</x:v>
      </x:c>
      <x:c r="C230" t="str">
        <x:v>Aarav Naidu</x:v>
      </x:c>
      <x:c r="D230" t="str">
        <x:v>Male</x:v>
      </x:c>
      <x:c r="E230" t="str">
        <x:v>26-35</x:v>
      </x:c>
      <x:c r="F230" t="str">
        <x:v>Visakhapatnam</x:v>
      </x:c>
      <x:c r="G230" t="str">
        <x:v>Andhra Pradesh</x:v>
      </x:c>
      <x:c r="H230" t="str">
        <x:v>South</x:v>
      </x:c>
      <x:c r="I230" t="str">
        <x:v>Home &amp; Furniture</x:v>
      </x:c>
      <x:c r="J230" t="str">
        <x:v>Appliances</x:v>
      </x:c>
      <x:c r="K230" t="str">
        <x:v>Mixer Grinder</x:v>
      </x:c>
      <x:c r="L230" t="n">
        <x:v>3</x:v>
      </x:c>
      <x:c r="M230" s="22" t="n">
        <x:v>4130.28</x:v>
      </x:c>
      <x:c r="N230" s="24" t="n">
        <x:v>0.05</x:v>
      </x:c>
      <x:c r="O230" s="22" t="n">
        <x:v>2795.36</x:v>
      </x:c>
      <x:c r="P230" s="22" t="n">
        <x:f>L230*M230*(1-N230)</x:f>
        <x:v>11771.297999999999</x:v>
      </x:c>
      <x:c r="Q230" s="22" t="n">
        <x:f>L230*O230</x:f>
        <x:v>8386.08</x:v>
      </x:c>
      <x:c r="R230" s="22" t="n">
        <x:f>P230-Q230</x:f>
        <x:v>3385.217999999999</x:v>
      </x:c>
      <x:c r="S230" t="str">
        <x:v>UPI</x:v>
      </x:c>
      <x:c r="T230" t="str">
        <x:v>Corporate</x:v>
      </x:c>
      <x:c r="U230" t="str">
        <x:v>Online</x:v>
      </x:c>
    </x:row>
    <x:row r="231">
      <x:c r="A231" t="str">
        <x:v>ORD0230</x:v>
      </x:c>
      <x:c r="B231" s="20" t="n">
        <x:v>45729</x:v>
      </x:c>
      <x:c r="C231" t="str">
        <x:v>Divya Singh</x:v>
      </x:c>
      <x:c r="D231" t="str">
        <x:v>Female</x:v>
      </x:c>
      <x:c r="E231" t="str">
        <x:v>36-45</x:v>
      </x:c>
      <x:c r="F231" t="str">
        <x:v>Bengaluru</x:v>
      </x:c>
      <x:c r="G231" t="str">
        <x:v>Karnataka</x:v>
      </x:c>
      <x:c r="H231" t="str">
        <x:v>South</x:v>
      </x:c>
      <x:c r="I231" t="str">
        <x:v>Electronics</x:v>
      </x:c>
      <x:c r="J231" t="str">
        <x:v>Laptop</x:v>
      </x:c>
      <x:c r="K231" t="str">
        <x:v>AeroBook 14</x:v>
      </x:c>
      <x:c r="L231" t="n">
        <x:v>2</x:v>
      </x:c>
      <x:c r="M231" s="22" t="n">
        <x:v>57651.76</x:v>
      </x:c>
      <x:c r="N231" s="24" t="n">
        <x:v>0</x:v>
      </x:c>
      <x:c r="O231" s="22" t="n">
        <x:v>51123.84</x:v>
      </x:c>
      <x:c r="P231" s="22" t="n">
        <x:f>L231*M231*(1-N231)</x:f>
        <x:v>115303.52</x:v>
      </x:c>
      <x:c r="Q231" s="22" t="n">
        <x:f>L231*O231</x:f>
        <x:v>102247.68</x:v>
      </x:c>
      <x:c r="R231" s="22" t="n">
        <x:f>P231-Q231</x:f>
        <x:v>13055.840000000011</x:v>
      </x:c>
      <x:c r="S231" t="str">
        <x:v>UPI</x:v>
      </x:c>
      <x:c r="T231" t="str">
        <x:v>Consumer</x:v>
      </x:c>
      <x:c r="U231" t="str">
        <x:v>Online</x:v>
      </x:c>
    </x:row>
    <x:row r="232">
      <x:c r="A232" t="str">
        <x:v>ORD0231</x:v>
      </x:c>
      <x:c r="B232" s="20" t="n">
        <x:v>45759</x:v>
      </x:c>
      <x:c r="C232" t="str">
        <x:v>Pooja Sharma</x:v>
      </x:c>
      <x:c r="D232" t="str">
        <x:v>Female</x:v>
      </x:c>
      <x:c r="E232" t="str">
        <x:v>46-60</x:v>
      </x:c>
      <x:c r="F232" t="str">
        <x:v>Hyderabad</x:v>
      </x:c>
      <x:c r="G232" t="str">
        <x:v>Telangana</x:v>
      </x:c>
      <x:c r="H232" t="str">
        <x:v>South</x:v>
      </x:c>
      <x:c r="I232" t="str">
        <x:v>Beauty</x:v>
      </x:c>
      <x:c r="J232" t="str">
        <x:v>Skincare</x:v>
      </x:c>
      <x:c r="K232" t="str">
        <x:v>Face Serum</x:v>
      </x:c>
      <x:c r="L232" t="n">
        <x:v>3</x:v>
      </x:c>
      <x:c r="M232" s="22" t="n">
        <x:v>1028.19</x:v>
      </x:c>
      <x:c r="N232" s="24" t="n">
        <x:v>0</x:v>
      </x:c>
      <x:c r="O232" s="22" t="n">
        <x:v>616.67</x:v>
      </x:c>
      <x:c r="P232" s="22" t="n">
        <x:f>L232*M232*(1-N232)</x:f>
        <x:v>3084.57</x:v>
      </x:c>
      <x:c r="Q232" s="22" t="n">
        <x:f>L232*O232</x:f>
        <x:v>1850.0099999999998</x:v>
      </x:c>
      <x:c r="R232" s="22" t="n">
        <x:f>P232-Q232</x:f>
        <x:v>1234.5600000000004</x:v>
      </x:c>
      <x:c r="S232" t="str">
        <x:v>Cash on Delivery</x:v>
      </x:c>
      <x:c r="T232" t="str">
        <x:v>Corporate</x:v>
      </x:c>
      <x:c r="U232" t="str">
        <x:v>Online</x:v>
      </x:c>
    </x:row>
    <x:row r="233">
      <x:c r="A233" t="str">
        <x:v>ORD0232</x:v>
      </x:c>
      <x:c r="B233" s="20" t="n">
        <x:v>45853</x:v>
      </x:c>
      <x:c r="C233" t="str">
        <x:v>Sai Sharma</x:v>
      </x:c>
      <x:c r="D233" t="str">
        <x:v>Female</x:v>
      </x:c>
      <x:c r="E233" t="str">
        <x:v>36-45</x:v>
      </x:c>
      <x:c r="F233" t="str">
        <x:v>Ahmedabad</x:v>
      </x:c>
      <x:c r="G233" t="str">
        <x:v>Gujarat</x:v>
      </x:c>
      <x:c r="H233" t="str">
        <x:v>West</x:v>
      </x:c>
      <x:c r="I233" t="str">
        <x:v>Beauty</x:v>
      </x:c>
      <x:c r="J233" t="str">
        <x:v>Skincare</x:v>
      </x:c>
      <x:c r="K233" t="str">
        <x:v>Face Serum</x:v>
      </x:c>
      <x:c r="L233" t="n">
        <x:v>3</x:v>
      </x:c>
      <x:c r="M233" s="22" t="n">
        <x:v>1074.29</x:v>
      </x:c>
      <x:c r="N233" s="24" t="n">
        <x:v>0.05</x:v>
      </x:c>
      <x:c r="O233" s="22" t="n">
        <x:v>619.6</x:v>
      </x:c>
      <x:c r="P233" s="22" t="n">
        <x:f>L233*M233*(1-N233)</x:f>
        <x:v>3061.7264999999998</x:v>
      </x:c>
      <x:c r="Q233" s="22" t="n">
        <x:f>L233*O233</x:f>
        <x:v>1858.8000000000002</x:v>
      </x:c>
      <x:c r="R233" s="22" t="n">
        <x:f>P233-Q233</x:f>
        <x:v>1202.9264999999996</x:v>
      </x:c>
      <x:c r="S233" t="str">
        <x:v>Cash on Delivery</x:v>
      </x:c>
      <x:c r="T233" t="str">
        <x:v>Corporate</x:v>
      </x:c>
      <x:c r="U233" t="str">
        <x:v>Retail Store</x:v>
      </x:c>
    </x:row>
    <x:row r="234">
      <x:c r="A234" t="str">
        <x:v>ORD0233</x:v>
      </x:c>
      <x:c r="B234" s="20" t="n">
        <x:v>45903</x:v>
      </x:c>
      <x:c r="C234" t="str">
        <x:v>Meena Patel</x:v>
      </x:c>
      <x:c r="D234" t="str">
        <x:v>Female</x:v>
      </x:c>
      <x:c r="E234" t="str">
        <x:v>46-60</x:v>
      </x:c>
      <x:c r="F234" t="str">
        <x:v>Bhubaneswar</x:v>
      </x:c>
      <x:c r="G234" t="str">
        <x:v>Odisha</x:v>
      </x:c>
      <x:c r="H234" t="str">
        <x:v>East</x:v>
      </x:c>
      <x:c r="I234" t="str">
        <x:v>Electronics</x:v>
      </x:c>
      <x:c r="J234" t="str">
        <x:v>Laptop</x:v>
      </x:c>
      <x:c r="K234" t="str">
        <x:v>AeroBook 14</x:v>
      </x:c>
      <x:c r="L234" t="n">
        <x:v>2</x:v>
      </x:c>
      <x:c r="M234" s="22" t="n">
        <x:v>59815.38</x:v>
      </x:c>
      <x:c r="N234" s="24" t="n">
        <x:v>0.2</x:v>
      </x:c>
      <x:c r="O234" s="22" t="n">
        <x:v>48548.94</x:v>
      </x:c>
      <x:c r="P234" s="22" t="n">
        <x:f>L234*M234*(1-N234)</x:f>
        <x:v>95704.60800000001</x:v>
      </x:c>
      <x:c r="Q234" s="22" t="n">
        <x:f>L234*O234</x:f>
        <x:v>97097.88</x:v>
      </x:c>
      <x:c r="R234" s="22" t="n">
        <x:f>P234-Q234</x:f>
        <x:v>-1393.2719999999972</x:v>
      </x:c>
      <x:c r="S234" t="str">
        <x:v>Debit Card</x:v>
      </x:c>
      <x:c r="T234" t="str">
        <x:v>Corporate</x:v>
      </x:c>
      <x:c r="U234" t="str">
        <x:v>Retail Store</x:v>
      </x:c>
    </x:row>
    <x:row r="235">
      <x:c r="A235" t="str">
        <x:v>ORD0234</x:v>
      </x:c>
      <x:c r="B235" s="20" t="n">
        <x:v>45906</x:v>
      </x:c>
      <x:c r="C235" t="str">
        <x:v>Aarav Kumar</x:v>
      </x:c>
      <x:c r="D235" t="str">
        <x:v>Female</x:v>
      </x:c>
      <x:c r="E235" t="str">
        <x:v>46-60</x:v>
      </x:c>
      <x:c r="F235" t="str">
        <x:v>Bengaluru</x:v>
      </x:c>
      <x:c r="G235" t="str">
        <x:v>Karnataka</x:v>
      </x:c>
      <x:c r="H235" t="str">
        <x:v>South</x:v>
      </x:c>
      <x:c r="I235" t="str">
        <x:v>Fashion</x:v>
      </x:c>
      <x:c r="J235" t="str">
        <x:v>Footwear</x:v>
      </x:c>
      <x:c r="K235" t="str">
        <x:v>Running Shoes</x:v>
      </x:c>
      <x:c r="L235" t="n">
        <x:v>3</x:v>
      </x:c>
      <x:c r="M235" s="22" t="n">
        <x:v>3437.49</x:v>
      </x:c>
      <x:c r="N235" s="24" t="n">
        <x:v>0.15</x:v>
      </x:c>
      <x:c r="O235" s="22" t="n">
        <x:v>2143.65</x:v>
      </x:c>
      <x:c r="P235" s="22" t="n">
        <x:f>L235*M235*(1-N235)</x:f>
        <x:v>8765.599499999998</x:v>
      </x:c>
      <x:c r="Q235" s="22" t="n">
        <x:f>L235*O235</x:f>
        <x:v>6430.950000000001</x:v>
      </x:c>
      <x:c r="R235" s="22" t="n">
        <x:f>P235-Q235</x:f>
        <x:v>2334.6494999999977</x:v>
      </x:c>
      <x:c r="S235" t="str">
        <x:v>Net Banking</x:v>
      </x:c>
      <x:c r="T235" t="str">
        <x:v>Corporate</x:v>
      </x:c>
      <x:c r="U235" t="str">
        <x:v>Retail Store</x:v>
      </x:c>
    </x:row>
    <x:row r="236">
      <x:c r="A236" t="str">
        <x:v>ORD0235</x:v>
      </x:c>
      <x:c r="B236" s="20" t="n">
        <x:v>45777</x:v>
      </x:c>
      <x:c r="C236" t="str">
        <x:v>Rohit Das</x:v>
      </x:c>
      <x:c r="D236" t="str">
        <x:v>Male</x:v>
      </x:c>
      <x:c r="E236" t="str">
        <x:v>36-45</x:v>
      </x:c>
      <x:c r="F236" t="str">
        <x:v>Hyderabad</x:v>
      </x:c>
      <x:c r="G236" t="str">
        <x:v>Telangana</x:v>
      </x:c>
      <x:c r="H236" t="str">
        <x:v>South</x:v>
      </x:c>
      <x:c r="I236" t="str">
        <x:v>Home &amp; Furniture</x:v>
      </x:c>
      <x:c r="J236" t="str">
        <x:v>Furniture</x:v>
      </x:c>
      <x:c r="K236" t="str">
        <x:v>Office Chair</x:v>
      </x:c>
      <x:c r="L236" t="n">
        <x:v>5</x:v>
      </x:c>
      <x:c r="M236" s="22" t="n">
        <x:v>8636.91</x:v>
      </x:c>
      <x:c r="N236" s="24" t="n">
        <x:v>0.2</x:v>
      </x:c>
      <x:c r="O236" s="22" t="n">
        <x:v>6071.61</x:v>
      </x:c>
      <x:c r="P236" s="22" t="n">
        <x:f>L236*M236*(1-N236)</x:f>
        <x:v>34547.64000000001</x:v>
      </x:c>
      <x:c r="Q236" s="22" t="n">
        <x:f>L236*O236</x:f>
        <x:v>30358.05</x:v>
      </x:c>
      <x:c r="R236" s="22" t="n">
        <x:f>P236-Q236</x:f>
        <x:v>4189.590000000007</x:v>
      </x:c>
      <x:c r="S236" t="str">
        <x:v>Credit Card</x:v>
      </x:c>
      <x:c r="T236" t="str">
        <x:v>Consumer</x:v>
      </x:c>
      <x:c r="U236" t="str">
        <x:v>Online</x:v>
      </x:c>
    </x:row>
    <x:row r="237">
      <x:c r="A237" t="str">
        <x:v>ORD0236</x:v>
      </x:c>
      <x:c r="B237" s="20" t="n">
        <x:v>45961</x:v>
      </x:c>
      <x:c r="C237" t="str">
        <x:v>Sai Das</x:v>
      </x:c>
      <x:c r="D237" t="str">
        <x:v>Female</x:v>
      </x:c>
      <x:c r="E237" t="str">
        <x:v>46-60</x:v>
      </x:c>
      <x:c r="F237" t="str">
        <x:v>Jaipur</x:v>
      </x:c>
      <x:c r="G237" t="str">
        <x:v>Rajasthan</x:v>
      </x:c>
      <x:c r="H237" t="str">
        <x:v>North</x:v>
      </x:c>
      <x:c r="I237" t="str">
        <x:v>Fashion</x:v>
      </x:c>
      <x:c r="J237" t="str">
        <x:v>Footwear</x:v>
      </x:c>
      <x:c r="K237" t="str">
        <x:v>Running Shoes</x:v>
      </x:c>
      <x:c r="L237" t="n">
        <x:v>3</x:v>
      </x:c>
      <x:c r="M237" s="22" t="n">
        <x:v>3731.83</x:v>
      </x:c>
      <x:c r="N237" s="24" t="n">
        <x:v>0.15</x:v>
      </x:c>
      <x:c r="O237" s="22" t="n">
        <x:v>2116.96</x:v>
      </x:c>
      <x:c r="P237" s="22" t="n">
        <x:f>L237*M237*(1-N237)</x:f>
        <x:v>9516.1665</x:v>
      </x:c>
      <x:c r="Q237" s="22" t="n">
        <x:f>L237*O237</x:f>
        <x:v>6350.88</x:v>
      </x:c>
      <x:c r="R237" s="22" t="n">
        <x:f>P237-Q237</x:f>
        <x:v>3165.2864999999993</x:v>
      </x:c>
      <x:c r="S237" t="str">
        <x:v>Net Banking</x:v>
      </x:c>
      <x:c r="T237" t="str">
        <x:v>Corporate</x:v>
      </x:c>
      <x:c r="U237" t="str">
        <x:v>Online</x:v>
      </x:c>
    </x:row>
    <x:row r="238">
      <x:c r="A238" t="str">
        <x:v>ORD0237</x:v>
      </x:c>
      <x:c r="B238" s="20" t="n">
        <x:v>45909</x:v>
      </x:c>
      <x:c r="C238" t="str">
        <x:v>Aarav Singh</x:v>
      </x:c>
      <x:c r="D238" t="str">
        <x:v>Female</x:v>
      </x:c>
      <x:c r="E238" t="str">
        <x:v>26-35</x:v>
      </x:c>
      <x:c r="F238" t="str">
        <x:v>Ahmedabad</x:v>
      </x:c>
      <x:c r="G238" t="str">
        <x:v>Gujarat</x:v>
      </x:c>
      <x:c r="H238" t="str">
        <x:v>West</x:v>
      </x:c>
      <x:c r="I238" t="str">
        <x:v>Electronics</x:v>
      </x:c>
      <x:c r="J238" t="str">
        <x:v>Laptop</x:v>
      </x:c>
      <x:c r="K238" t="str">
        <x:v>AeroBook 14</x:v>
      </x:c>
      <x:c r="L238" t="n">
        <x:v>1</x:v>
      </x:c>
      <x:c r="M238" s="22" t="n">
        <x:v>57597.19</x:v>
      </x:c>
      <x:c r="N238" s="24" t="n">
        <x:v>0.15</x:v>
      </x:c>
      <x:c r="O238" s="22" t="n">
        <x:v>50406.65</x:v>
      </x:c>
      <x:c r="P238" s="22" t="n">
        <x:f>L238*M238*(1-N238)</x:f>
        <x:v>48957.6115</x:v>
      </x:c>
      <x:c r="Q238" s="22" t="n">
        <x:f>L238*O238</x:f>
        <x:v>50406.65</x:v>
      </x:c>
      <x:c r="R238" s="22" t="n">
        <x:f>P238-Q238</x:f>
        <x:v>-1449.0385000000024</x:v>
      </x:c>
      <x:c r="S238" t="str">
        <x:v>Debit Card</x:v>
      </x:c>
      <x:c r="T238" t="str">
        <x:v>Home Office</x:v>
      </x:c>
      <x:c r="U238" t="str">
        <x:v>Online</x:v>
      </x:c>
    </x:row>
    <x:row r="239">
      <x:c r="A239" t="str">
        <x:v>ORD0238</x:v>
      </x:c>
      <x:c r="B239" s="20" t="n">
        <x:v>45823</x:v>
      </x:c>
      <x:c r="C239" t="str">
        <x:v>Kavya Reddy</x:v>
      </x:c>
      <x:c r="D239" t="str">
        <x:v>Male</x:v>
      </x:c>
      <x:c r="E239" t="str">
        <x:v>46-60</x:v>
      </x:c>
      <x:c r="F239" t="str">
        <x:v>Delhi</x:v>
      </x:c>
      <x:c r="G239" t="str">
        <x:v>Delhi</x:v>
      </x:c>
      <x:c r="H239" t="str">
        <x:v>North</x:v>
      </x:c>
      <x:c r="I239" t="str">
        <x:v>Electronics</x:v>
      </x:c>
      <x:c r="J239" t="str">
        <x:v>Laptop</x:v>
      </x:c>
      <x:c r="K239" t="str">
        <x:v>AeroBook 14</x:v>
      </x:c>
      <x:c r="L239" t="n">
        <x:v>2</x:v>
      </x:c>
      <x:c r="M239" s="22" t="n">
        <x:v>58505.3</x:v>
      </x:c>
      <x:c r="N239" s="24" t="n">
        <x:v>0</x:v>
      </x:c>
      <x:c r="O239" s="22" t="n">
        <x:v>50818.79</x:v>
      </x:c>
      <x:c r="P239" s="22" t="n">
        <x:f>L239*M239*(1-N239)</x:f>
        <x:v>117010.6</x:v>
      </x:c>
      <x:c r="Q239" s="22" t="n">
        <x:f>L239*O239</x:f>
        <x:v>101637.58</x:v>
      </x:c>
      <x:c r="R239" s="22" t="n">
        <x:f>P239-Q239</x:f>
        <x:v>15373.020000000004</x:v>
      </x:c>
      <x:c r="S239" t="str">
        <x:v>Net Banking</x:v>
      </x:c>
      <x:c r="T239" t="str">
        <x:v>Consumer</x:v>
      </x:c>
      <x:c r="U239" t="str">
        <x:v>Mobile App</x:v>
      </x:c>
    </x:row>
    <x:row r="240">
      <x:c r="A240" t="str">
        <x:v>ORD0239</x:v>
      </x:c>
      <x:c r="B240" s="20" t="n">
        <x:v>45812</x:v>
      </x:c>
      <x:c r="C240" t="str">
        <x:v>Priya Rao</x:v>
      </x:c>
      <x:c r="D240" t="str">
        <x:v>Male</x:v>
      </x:c>
      <x:c r="E240" t="str">
        <x:v>26-35</x:v>
      </x:c>
      <x:c r="F240" t="str">
        <x:v>Ahmedabad</x:v>
      </x:c>
      <x:c r="G240" t="str">
        <x:v>Gujarat</x:v>
      </x:c>
      <x:c r="H240" t="str">
        <x:v>West</x:v>
      </x:c>
      <x:c r="I240" t="str">
        <x:v>Fashion</x:v>
      </x:c>
      <x:c r="J240" t="str">
        <x:v>Women</x:v>
      </x:c>
      <x:c r="K240" t="str">
        <x:v>Kurti</x:v>
      </x:c>
      <x:c r="L240" t="n">
        <x:v>4</x:v>
      </x:c>
      <x:c r="M240" s="22" t="n">
        <x:v>1937.05</x:v>
      </x:c>
      <x:c r="N240" s="24" t="n">
        <x:v>0.2</x:v>
      </x:c>
      <x:c r="O240" s="22" t="n">
        <x:v>1018.59</x:v>
      </x:c>
      <x:c r="P240" s="22" t="n">
        <x:f>L240*M240*(1-N240)</x:f>
        <x:v>6198.56</x:v>
      </x:c>
      <x:c r="Q240" s="22" t="n">
        <x:f>L240*O240</x:f>
        <x:v>4074.36</x:v>
      </x:c>
      <x:c r="R240" s="22" t="n">
        <x:f>P240-Q240</x:f>
        <x:v>2124.2000000000003</x:v>
      </x:c>
      <x:c r="S240" t="str">
        <x:v>Net Banking</x:v>
      </x:c>
      <x:c r="T240" t="str">
        <x:v>Consumer</x:v>
      </x:c>
      <x:c r="U240" t="str">
        <x:v>Mobile App</x:v>
      </x:c>
    </x:row>
    <x:row r="241">
      <x:c r="A241" t="str">
        <x:v>ORD0240</x:v>
      </x:c>
      <x:c r="B241" s="20" t="n">
        <x:v>45815</x:v>
      </x:c>
      <x:c r="C241" t="str">
        <x:v>Nikhil Sharma</x:v>
      </x:c>
      <x:c r="D241" t="str">
        <x:v>Female</x:v>
      </x:c>
      <x:c r="E241" t="str">
        <x:v>36-45</x:v>
      </x:c>
      <x:c r="F241" t="str">
        <x:v>Bhubaneswar</x:v>
      </x:c>
      <x:c r="G241" t="str">
        <x:v>Odisha</x:v>
      </x:c>
      <x:c r="H241" t="str">
        <x:v>East</x:v>
      </x:c>
      <x:c r="I241" t="str">
        <x:v>Fashion</x:v>
      </x:c>
      <x:c r="J241" t="str">
        <x:v>Women</x:v>
      </x:c>
      <x:c r="K241" t="str">
        <x:v>Kurti</x:v>
      </x:c>
      <x:c r="L241" t="n">
        <x:v>5</x:v>
      </x:c>
      <x:c r="M241" s="22" t="n">
        <x:v>1707.18</x:v>
      </x:c>
      <x:c r="N241" s="24" t="n">
        <x:v>0.1</x:v>
      </x:c>
      <x:c r="O241" s="22" t="n">
        <x:v>960.14</x:v>
      </x:c>
      <x:c r="P241" s="22" t="n">
        <x:f>L241*M241*(1-N241)</x:f>
        <x:v>7682.3099999999995</x:v>
      </x:c>
      <x:c r="Q241" s="22" t="n">
        <x:f>L241*O241</x:f>
        <x:v>4800.7</x:v>
      </x:c>
      <x:c r="R241" s="22" t="n">
        <x:f>P241-Q241</x:f>
        <x:v>2881.6099999999997</x:v>
      </x:c>
      <x:c r="S241" t="str">
        <x:v>Net Banking</x:v>
      </x:c>
      <x:c r="T241" t="str">
        <x:v>Consumer</x:v>
      </x:c>
      <x:c r="U241" t="str">
        <x:v>Retail Store</x:v>
      </x:c>
    </x:row>
    <x:row r="242">
      <x:c r="A242" t="str">
        <x:v>ORD0241</x:v>
      </x:c>
      <x:c r="B242" s="20" t="n">
        <x:v>45947</x:v>
      </x:c>
      <x:c r="C242" t="str">
        <x:v>Rahul Reddy</x:v>
      </x:c>
      <x:c r="D242" t="str">
        <x:v>Male</x:v>
      </x:c>
      <x:c r="E242" t="str">
        <x:v>46-60</x:v>
      </x:c>
      <x:c r="F242" t="str">
        <x:v>Mumbai</x:v>
      </x:c>
      <x:c r="G242" t="str">
        <x:v>Maharashtra</x:v>
      </x:c>
      <x:c r="H242" t="str">
        <x:v>West</x:v>
      </x:c>
      <x:c r="I242" t="str">
        <x:v>Electronics</x:v>
      </x:c>
      <x:c r="J242" t="str">
        <x:v>Smartwatch</x:v>
      </x:c>
      <x:c r="K242" t="str">
        <x:v>FitTime S2</x:v>
      </x:c>
      <x:c r="L242" t="n">
        <x:v>2</x:v>
      </x:c>
      <x:c r="M242" s="22" t="n">
        <x:v>7540.02</x:v>
      </x:c>
      <x:c r="N242" s="24" t="n">
        <x:v>0.05</x:v>
      </x:c>
      <x:c r="O242" s="22" t="n">
        <x:v>5709.91</x:v>
      </x:c>
      <x:c r="P242" s="22" t="n">
        <x:f>L242*M242*(1-N242)</x:f>
        <x:v>14326.038</x:v>
      </x:c>
      <x:c r="Q242" s="22" t="n">
        <x:f>L242*O242</x:f>
        <x:v>11419.82</x:v>
      </x:c>
      <x:c r="R242" s="22" t="n">
        <x:f>P242-Q242</x:f>
        <x:v>2906.2180000000008</x:v>
      </x:c>
      <x:c r="S242" t="str">
        <x:v>UPI</x:v>
      </x:c>
      <x:c r="T242" t="str">
        <x:v>Corporate</x:v>
      </x:c>
      <x:c r="U242" t="str">
        <x:v>Online</x:v>
      </x:c>
    </x:row>
    <x:row r="243">
      <x:c r="A243" t="str">
        <x:v>ORD0242</x:v>
      </x:c>
      <x:c r="B243" s="20" t="n">
        <x:v>45785</x:v>
      </x:c>
      <x:c r="C243" t="str">
        <x:v>Pooja Naidu</x:v>
      </x:c>
      <x:c r="D243" t="str">
        <x:v>Female</x:v>
      </x:c>
      <x:c r="E243" t="str">
        <x:v>46-60</x:v>
      </x:c>
      <x:c r="F243" t="str">
        <x:v>Pune</x:v>
      </x:c>
      <x:c r="G243" t="str">
        <x:v>Maharashtra</x:v>
      </x:c>
      <x:c r="H243" t="str">
        <x:v>West</x:v>
      </x:c>
      <x:c r="I243" t="str">
        <x:v>Electronics</x:v>
      </x:c>
      <x:c r="J243" t="str">
        <x:v>Headphones</x:v>
      </x:c>
      <x:c r="K243" t="str">
        <x:v>SoundMax Pro</x:v>
      </x:c>
      <x:c r="L243" t="n">
        <x:v>1</x:v>
      </x:c>
      <x:c r="M243" s="22" t="n">
        <x:v>4324.79</x:v>
      </x:c>
      <x:c r="N243" s="24" t="n">
        <x:v>0</x:v>
      </x:c>
      <x:c r="O243" s="22" t="n">
        <x:v>2905.93</x:v>
      </x:c>
      <x:c r="P243" s="22" t="n">
        <x:f>L243*M243*(1-N243)</x:f>
        <x:v>4324.79</x:v>
      </x:c>
      <x:c r="Q243" s="22" t="n">
        <x:f>L243*O243</x:f>
        <x:v>2905.93</x:v>
      </x:c>
      <x:c r="R243" s="22" t="n">
        <x:f>P243-Q243</x:f>
        <x:v>1418.8600000000001</x:v>
      </x:c>
      <x:c r="S243" t="str">
        <x:v>Cash on Delivery</x:v>
      </x:c>
      <x:c r="T243" t="str">
        <x:v>Corporate</x:v>
      </x:c>
      <x:c r="U243" t="str">
        <x:v>Mobile App</x:v>
      </x:c>
    </x:row>
    <x:row r="244">
      <x:c r="A244" t="str">
        <x:v>ORD0243</x:v>
      </x:c>
      <x:c r="B244" s="20" t="n">
        <x:v>45937</x:v>
      </x:c>
      <x:c r="C244" t="str">
        <x:v>Rohit Rao</x:v>
      </x:c>
      <x:c r="D244" t="str">
        <x:v>Male</x:v>
      </x:c>
      <x:c r="E244" t="str">
        <x:v>18-25</x:v>
      </x:c>
      <x:c r="F244" t="str">
        <x:v>Bhubaneswar</x:v>
      </x:c>
      <x:c r="G244" t="str">
        <x:v>Odisha</x:v>
      </x:c>
      <x:c r="H244" t="str">
        <x:v>East</x:v>
      </x:c>
      <x:c r="I244" t="str">
        <x:v>Beauty</x:v>
      </x:c>
      <x:c r="J244" t="str">
        <x:v>Skincare</x:v>
      </x:c>
      <x:c r="K244" t="str">
        <x:v>Face Serum</x:v>
      </x:c>
      <x:c r="L244" t="n">
        <x:v>5</x:v>
      </x:c>
      <x:c r="M244" s="22" t="n">
        <x:v>1157.87</x:v>
      </x:c>
      <x:c r="N244" s="24" t="n">
        <x:v>0.2</x:v>
      </x:c>
      <x:c r="O244" s="22" t="n">
        <x:v>613.86</x:v>
      </x:c>
      <x:c r="P244" s="22" t="n">
        <x:f>L244*M244*(1-N244)</x:f>
        <x:v>4631.48</x:v>
      </x:c>
      <x:c r="Q244" s="22" t="n">
        <x:f>L244*O244</x:f>
        <x:v>3069.3</x:v>
      </x:c>
      <x:c r="R244" s="22" t="n">
        <x:f>P244-Q244</x:f>
        <x:v>1562.1799999999994</x:v>
      </x:c>
      <x:c r="S244" t="str">
        <x:v>UPI</x:v>
      </x:c>
      <x:c r="T244" t="str">
        <x:v>Corporate</x:v>
      </x:c>
      <x:c r="U244" t="str">
        <x:v>Online</x:v>
      </x:c>
    </x:row>
    <x:row r="245">
      <x:c r="A245" t="str">
        <x:v>ORD0244</x:v>
      </x:c>
      <x:c r="B245" s="20" t="n">
        <x:v>45821</x:v>
      </x:c>
      <x:c r="C245" t="str">
        <x:v>Aditya Gupta</x:v>
      </x:c>
      <x:c r="D245" t="str">
        <x:v>Female</x:v>
      </x:c>
      <x:c r="E245" t="str">
        <x:v>36-45</x:v>
      </x:c>
      <x:c r="F245" t="str">
        <x:v>Kolkata</x:v>
      </x:c>
      <x:c r="G245" t="str">
        <x:v>West Bengal</x:v>
      </x:c>
      <x:c r="H245" t="str">
        <x:v>East</x:v>
      </x:c>
      <x:c r="I245" t="str">
        <x:v>Fashion</x:v>
      </x:c>
      <x:c r="J245" t="str">
        <x:v>Men</x:v>
      </x:c>
      <x:c r="K245" t="str">
        <x:v>Casual Shirt</x:v>
      </x:c>
      <x:c r="L245" t="n">
        <x:v>4</x:v>
      </x:c>
      <x:c r="M245" s="22" t="n">
        <x:v>1491</x:v>
      </x:c>
      <x:c r="N245" s="24" t="n">
        <x:v>0</x:v>
      </x:c>
      <x:c r="O245" s="22" t="n">
        <x:v>876.25</x:v>
      </x:c>
      <x:c r="P245" s="22" t="n">
        <x:f>L245*M245*(1-N245)</x:f>
        <x:v>5964</x:v>
      </x:c>
      <x:c r="Q245" s="22" t="n">
        <x:f>L245*O245</x:f>
        <x:v>3505</x:v>
      </x:c>
      <x:c r="R245" s="22" t="n">
        <x:f>P245-Q245</x:f>
        <x:v>2459</x:v>
      </x:c>
      <x:c r="S245" t="str">
        <x:v>Net Banking</x:v>
      </x:c>
      <x:c r="T245" t="str">
        <x:v>Home Office</x:v>
      </x:c>
      <x:c r="U245" t="str">
        <x:v>Mobile App</x:v>
      </x:c>
    </x:row>
    <x:row r="246">
      <x:c r="A246" t="str">
        <x:v>ORD0245</x:v>
      </x:c>
      <x:c r="B246" s="20" t="n">
        <x:v>46018</x:v>
      </x:c>
      <x:c r="C246" t="str">
        <x:v>Arjun Singh</x:v>
      </x:c>
      <x:c r="D246" t="str">
        <x:v>Female</x:v>
      </x:c>
      <x:c r="E246" t="str">
        <x:v>26-35</x:v>
      </x:c>
      <x:c r="F246" t="str">
        <x:v>Hyderabad</x:v>
      </x:c>
      <x:c r="G246" t="str">
        <x:v>Telangana</x:v>
      </x:c>
      <x:c r="H246" t="str">
        <x:v>South</x:v>
      </x:c>
      <x:c r="I246" t="str">
        <x:v>Electronics</x:v>
      </x:c>
      <x:c r="J246" t="str">
        <x:v>Smartwatch</x:v>
      </x:c>
      <x:c r="K246" t="str">
        <x:v>FitTime S2</x:v>
      </x:c>
      <x:c r="L246" t="n">
        <x:v>4</x:v>
      </x:c>
      <x:c r="M246" s="22" t="n">
        <x:v>8566.33</x:v>
      </x:c>
      <x:c r="N246" s="24" t="n">
        <x:v>0</x:v>
      </x:c>
      <x:c r="O246" s="22" t="n">
        <x:v>5449.92</x:v>
      </x:c>
      <x:c r="P246" s="22" t="n">
        <x:f>L246*M246*(1-N246)</x:f>
        <x:v>34265.32</x:v>
      </x:c>
      <x:c r="Q246" s="22" t="n">
        <x:f>L246*O246</x:f>
        <x:v>21799.68</x:v>
      </x:c>
      <x:c r="R246" s="22" t="n">
        <x:f>P246-Q246</x:f>
        <x:v>12465.64</x:v>
      </x:c>
      <x:c r="S246" t="str">
        <x:v>Cash on Delivery</x:v>
      </x:c>
      <x:c r="T246" t="str">
        <x:v>Home Office</x:v>
      </x:c>
      <x:c r="U246" t="str">
        <x:v>Retail Store</x:v>
      </x:c>
    </x:row>
    <x:row r="247">
      <x:c r="A247" t="str">
        <x:v>ORD0246</x:v>
      </x:c>
      <x:c r="B247" s="20" t="n">
        <x:v>45934</x:v>
      </x:c>
      <x:c r="C247" t="str">
        <x:v>Sneha Rao</x:v>
      </x:c>
      <x:c r="D247" t="str">
        <x:v>Female</x:v>
      </x:c>
      <x:c r="E247" t="str">
        <x:v>36-45</x:v>
      </x:c>
      <x:c r="F247" t="str">
        <x:v>Delhi</x:v>
      </x:c>
      <x:c r="G247" t="str">
        <x:v>Delhi</x:v>
      </x:c>
      <x:c r="H247" t="str">
        <x:v>North</x:v>
      </x:c>
      <x:c r="I247" t="str">
        <x:v>Fashion</x:v>
      </x:c>
      <x:c r="J247" t="str">
        <x:v>Footwear</x:v>
      </x:c>
      <x:c r="K247" t="str">
        <x:v>Running Shoes</x:v>
      </x:c>
      <x:c r="L247" t="n">
        <x:v>4</x:v>
      </x:c>
      <x:c r="M247" s="22" t="n">
        <x:v>3386.54</x:v>
      </x:c>
      <x:c r="N247" s="24" t="n">
        <x:v>0.15</x:v>
      </x:c>
      <x:c r="O247" s="22" t="n">
        <x:v>2128.88</x:v>
      </x:c>
      <x:c r="P247" s="22" t="n">
        <x:f>L247*M247*(1-N247)</x:f>
        <x:v>11514.235999999999</x:v>
      </x:c>
      <x:c r="Q247" s="22" t="n">
        <x:f>L247*O247</x:f>
        <x:v>8515.52</x:v>
      </x:c>
      <x:c r="R247" s="22" t="n">
        <x:f>P247-Q247</x:f>
        <x:v>2998.7159999999985</x:v>
      </x:c>
      <x:c r="S247" t="str">
        <x:v>UPI</x:v>
      </x:c>
      <x:c r="T247" t="str">
        <x:v>Corporate</x:v>
      </x:c>
      <x:c r="U247" t="str">
        <x:v>Online</x:v>
      </x:c>
    </x:row>
    <x:row r="248">
      <x:c r="A248" t="str">
        <x:v>ORD0247</x:v>
      </x:c>
      <x:c r="B248" s="20" t="n">
        <x:v>45808</x:v>
      </x:c>
      <x:c r="C248" t="str">
        <x:v>Arjun Kumar</x:v>
      </x:c>
      <x:c r="D248" t="str">
        <x:v>Male</x:v>
      </x:c>
      <x:c r="E248" t="str">
        <x:v>46-60</x:v>
      </x:c>
      <x:c r="F248" t="str">
        <x:v>Ahmedabad</x:v>
      </x:c>
      <x:c r="G248" t="str">
        <x:v>Gujarat</x:v>
      </x:c>
      <x:c r="H248" t="str">
        <x:v>West</x:v>
      </x:c>
      <x:c r="I248" t="str">
        <x:v>Beauty</x:v>
      </x:c>
      <x:c r="J248" t="str">
        <x:v>Skincare</x:v>
      </x:c>
      <x:c r="K248" t="str">
        <x:v>Face Serum</x:v>
      </x:c>
      <x:c r="L248" t="n">
        <x:v>3</x:v>
      </x:c>
      <x:c r="M248" s="22" t="n">
        <x:v>1029.07</x:v>
      </x:c>
      <x:c r="N248" s="24" t="n">
        <x:v>0</x:v>
      </x:c>
      <x:c r="O248" s="22" t="n">
        <x:v>585.93</x:v>
      </x:c>
      <x:c r="P248" s="22" t="n">
        <x:f>L248*M248*(1-N248)</x:f>
        <x:v>3087.21</x:v>
      </x:c>
      <x:c r="Q248" s="22" t="n">
        <x:f>L248*O248</x:f>
        <x:v>1757.79</x:v>
      </x:c>
      <x:c r="R248" s="22" t="n">
        <x:f>P248-Q248</x:f>
        <x:v>1329.42</x:v>
      </x:c>
      <x:c r="S248" t="str">
        <x:v>Cash on Delivery</x:v>
      </x:c>
      <x:c r="T248" t="str">
        <x:v>Home Office</x:v>
      </x:c>
      <x:c r="U248" t="str">
        <x:v>Mobile App</x:v>
      </x:c>
    </x:row>
    <x:row r="249">
      <x:c r="A249" t="str">
        <x:v>ORD0248</x:v>
      </x:c>
      <x:c r="B249" s="20" t="n">
        <x:v>45704</x:v>
      </x:c>
      <x:c r="C249" t="str">
        <x:v>Neha Verma</x:v>
      </x:c>
      <x:c r="D249" t="str">
        <x:v>Male</x:v>
      </x:c>
      <x:c r="E249" t="str">
        <x:v>36-45</x:v>
      </x:c>
      <x:c r="F249" t="str">
        <x:v>Hyderabad</x:v>
      </x:c>
      <x:c r="G249" t="str">
        <x:v>Telangana</x:v>
      </x:c>
      <x:c r="H249" t="str">
        <x:v>South</x:v>
      </x:c>
      <x:c r="I249" t="str">
        <x:v>Beauty</x:v>
      </x:c>
      <x:c r="J249" t="str">
        <x:v>Skincare</x:v>
      </x:c>
      <x:c r="K249" t="str">
        <x:v>Face Serum</x:v>
      </x:c>
      <x:c r="L249" t="n">
        <x:v>2</x:v>
      </x:c>
      <x:c r="M249" s="22" t="n">
        <x:v>1077.3</x:v>
      </x:c>
      <x:c r="N249" s="24" t="n">
        <x:v>0.1</x:v>
      </x:c>
      <x:c r="O249" s="22" t="n">
        <x:v>594.31</x:v>
      </x:c>
      <x:c r="P249" s="22" t="n">
        <x:f>L249*M249*(1-N249)</x:f>
        <x:v>1939.1399999999999</x:v>
      </x:c>
      <x:c r="Q249" s="22" t="n">
        <x:f>L249*O249</x:f>
        <x:v>1188.62</x:v>
      </x:c>
      <x:c r="R249" s="22" t="n">
        <x:f>P249-Q249</x:f>
        <x:v>750.52</x:v>
      </x:c>
      <x:c r="S249" t="str">
        <x:v>Credit Card</x:v>
      </x:c>
      <x:c r="T249" t="str">
        <x:v>Corporate</x:v>
      </x:c>
      <x:c r="U249" t="str">
        <x:v>Retail Store</x:v>
      </x:c>
    </x:row>
    <x:row r="250">
      <x:c r="A250" t="str">
        <x:v>ORD0249</x:v>
      </x:c>
      <x:c r="B250" s="20" t="n">
        <x:v>45689</x:v>
      </x:c>
      <x:c r="C250" t="str">
        <x:v>Nikhil Patel</x:v>
      </x:c>
      <x:c r="D250" t="str">
        <x:v>Female</x:v>
      </x:c>
      <x:c r="E250" t="str">
        <x:v>46-60</x:v>
      </x:c>
      <x:c r="F250" t="str">
        <x:v>Bhubaneswar</x:v>
      </x:c>
      <x:c r="G250" t="str">
        <x:v>Odisha</x:v>
      </x:c>
      <x:c r="H250" t="str">
        <x:v>East</x:v>
      </x:c>
      <x:c r="I250" t="str">
        <x:v>Home &amp; Furniture</x:v>
      </x:c>
      <x:c r="J250" t="str">
        <x:v>Furniture</x:v>
      </x:c>
      <x:c r="K250" t="str">
        <x:v>Office Chair</x:v>
      </x:c>
      <x:c r="L250" t="n">
        <x:v>5</x:v>
      </x:c>
      <x:c r="M250" s="22" t="n">
        <x:v>8403.42</x:v>
      </x:c>
      <x:c r="N250" s="24" t="n">
        <x:v>0.1</x:v>
      </x:c>
      <x:c r="O250" s="22" t="n">
        <x:v>6122.52</x:v>
      </x:c>
      <x:c r="P250" s="22" t="n">
        <x:f>L250*M250*(1-N250)</x:f>
        <x:v>37815.39</x:v>
      </x:c>
      <x:c r="Q250" s="22" t="n">
        <x:f>L250*O250</x:f>
        <x:v>30612.600000000002</x:v>
      </x:c>
      <x:c r="R250" s="22" t="n">
        <x:f>P250-Q250</x:f>
        <x:v>7202.789999999997</x:v>
      </x:c>
      <x:c r="S250" t="str">
        <x:v>Net Banking</x:v>
      </x:c>
      <x:c r="T250" t="str">
        <x:v>Corporate</x:v>
      </x:c>
      <x:c r="U250" t="str">
        <x:v>Retail Store</x:v>
      </x:c>
    </x:row>
    <x:row r="251">
      <x:c r="A251" t="str">
        <x:v>ORD0250</x:v>
      </x:c>
      <x:c r="B251" s="20" t="n">
        <x:v>46009</x:v>
      </x:c>
      <x:c r="C251" t="str">
        <x:v>Vivaan Gupta</x:v>
      </x:c>
      <x:c r="D251" t="str">
        <x:v>Female</x:v>
      </x:c>
      <x:c r="E251" t="str">
        <x:v>18-25</x:v>
      </x:c>
      <x:c r="F251" t="str">
        <x:v>Kolkata</x:v>
      </x:c>
      <x:c r="G251" t="str">
        <x:v>West Bengal</x:v>
      </x:c>
      <x:c r="H251" t="str">
        <x:v>East</x:v>
      </x:c>
      <x:c r="I251" t="str">
        <x:v>Beauty</x:v>
      </x:c>
      <x:c r="J251" t="str">
        <x:v>Makeup</x:v>
      </x:c>
      <x:c r="K251" t="str">
        <x:v>Makeup Kit</x:v>
      </x:c>
      <x:c r="L251" t="n">
        <x:v>1</x:v>
      </x:c>
      <x:c r="M251" s="22" t="n">
        <x:v>3183.19</x:v>
      </x:c>
      <x:c r="N251" s="24" t="n">
        <x:v>0.1</x:v>
      </x:c>
      <x:c r="O251" s="22" t="n">
        <x:v>1746.68</x:v>
      </x:c>
      <x:c r="P251" s="22" t="n">
        <x:f>L251*M251*(1-N251)</x:f>
        <x:v>2864.871</x:v>
      </x:c>
      <x:c r="Q251" s="22" t="n">
        <x:f>L251*O251</x:f>
        <x:v>1746.68</x:v>
      </x:c>
      <x:c r="R251" s="22" t="n">
        <x:f>P251-Q251</x:f>
        <x:v>1118.191</x:v>
      </x:c>
      <x:c r="S251" t="str">
        <x:v>Cash on Delivery</x:v>
      </x:c>
      <x:c r="T251" t="str">
        <x:v>Consumer</x:v>
      </x:c>
      <x:c r="U251" t="str">
        <x:v>Online</x:v>
      </x:c>
    </x:row>
    <x:row r="252">
      <x:c r="A252" t="str">
        <x:v>ORD0251</x:v>
      </x:c>
      <x:c r="B252" s="20" t="n">
        <x:v>45766</x:v>
      </x:c>
      <x:c r="C252" t="str">
        <x:v>Sai Das</x:v>
      </x:c>
      <x:c r="D252" t="str">
        <x:v>Male</x:v>
      </x:c>
      <x:c r="E252" t="str">
        <x:v>36-45</x:v>
      </x:c>
      <x:c r="F252" t="str">
        <x:v>Lucknow</x:v>
      </x:c>
      <x:c r="G252" t="str">
        <x:v>Uttar Pradesh</x:v>
      </x:c>
      <x:c r="H252" t="str">
        <x:v>North</x:v>
      </x:c>
      <x:c r="I252" t="str">
        <x:v>Home &amp; Furniture</x:v>
      </x:c>
      <x:c r="J252" t="str">
        <x:v>Furniture</x:v>
      </x:c>
      <x:c r="K252" t="str">
        <x:v>Study Table</x:v>
      </x:c>
      <x:c r="L252" t="n">
        <x:v>4</x:v>
      </x:c>
      <x:c r="M252" s="22" t="n">
        <x:v>11585.35</x:v>
      </x:c>
      <x:c r="N252" s="24" t="n">
        <x:v>0</x:v>
      </x:c>
      <x:c r="O252" s="22" t="n">
        <x:v>8503.17</x:v>
      </x:c>
      <x:c r="P252" s="22" t="n">
        <x:f>L252*M252*(1-N252)</x:f>
        <x:v>46341.4</x:v>
      </x:c>
      <x:c r="Q252" s="22" t="n">
        <x:f>L252*O252</x:f>
        <x:v>34012.68</x:v>
      </x:c>
      <x:c r="R252" s="22" t="n">
        <x:f>P252-Q252</x:f>
        <x:v>12328.720000000001</x:v>
      </x:c>
      <x:c r="S252" t="str">
        <x:v>UPI</x:v>
      </x:c>
      <x:c r="T252" t="str">
        <x:v>Consumer</x:v>
      </x:c>
      <x:c r="U252" t="str">
        <x:v>Mobile App</x:v>
      </x:c>
    </x:row>
    <x:row r="253">
      <x:c r="A253" t="str">
        <x:v>ORD0252</x:v>
      </x:c>
      <x:c r="B253" s="20" t="n">
        <x:v>45942</x:v>
      </x:c>
      <x:c r="C253" t="str">
        <x:v>Harsha Das</x:v>
      </x:c>
      <x:c r="D253" t="str">
        <x:v>Male</x:v>
      </x:c>
      <x:c r="E253" t="str">
        <x:v>18-25</x:v>
      </x:c>
      <x:c r="F253" t="str">
        <x:v>Bhubaneswar</x:v>
      </x:c>
      <x:c r="G253" t="str">
        <x:v>Odisha</x:v>
      </x:c>
      <x:c r="H253" t="str">
        <x:v>East</x:v>
      </x:c>
      <x:c r="I253" t="str">
        <x:v>Beauty</x:v>
      </x:c>
      <x:c r="J253" t="str">
        <x:v>Makeup</x:v>
      </x:c>
      <x:c r="K253" t="str">
        <x:v>Makeup Kit</x:v>
      </x:c>
      <x:c r="L253" t="n">
        <x:v>4</x:v>
      </x:c>
      <x:c r="M253" s="22" t="n">
        <x:v>2916.54</x:v>
      </x:c>
      <x:c r="N253" s="24" t="n">
        <x:v>0</x:v>
      </x:c>
      <x:c r="O253" s="22" t="n">
        <x:v>1718.67</x:v>
      </x:c>
      <x:c r="P253" s="22" t="n">
        <x:f>L253*M253*(1-N253)</x:f>
        <x:v>11666.16</x:v>
      </x:c>
      <x:c r="Q253" s="22" t="n">
        <x:f>L253*O253</x:f>
        <x:v>6874.68</x:v>
      </x:c>
      <x:c r="R253" s="22" t="n">
        <x:f>P253-Q253</x:f>
        <x:v>4791.48</x:v>
      </x:c>
      <x:c r="S253" t="str">
        <x:v>Cash on Delivery</x:v>
      </x:c>
      <x:c r="T253" t="str">
        <x:v>Consumer</x:v>
      </x:c>
      <x:c r="U253" t="str">
        <x:v>Online</x:v>
      </x:c>
    </x:row>
    <x:row r="254">
      <x:c r="A254" t="str">
        <x:v>ORD0253</x:v>
      </x:c>
      <x:c r="B254" s="20" t="n">
        <x:v>45948</x:v>
      </x:c>
      <x:c r="C254" t="str">
        <x:v>Sree Kumar</x:v>
      </x:c>
      <x:c r="D254" t="str">
        <x:v>Male</x:v>
      </x:c>
      <x:c r="E254" t="str">
        <x:v>46-60</x:v>
      </x:c>
      <x:c r="F254" t="str">
        <x:v>Mumbai</x:v>
      </x:c>
      <x:c r="G254" t="str">
        <x:v>Maharashtra</x:v>
      </x:c>
      <x:c r="H254" t="str">
        <x:v>West</x:v>
      </x:c>
      <x:c r="I254" t="str">
        <x:v>Electronics</x:v>
      </x:c>
      <x:c r="J254" t="str">
        <x:v>Laptop</x:v>
      </x:c>
      <x:c r="K254" t="str">
        <x:v>AeroBook 14</x:v>
      </x:c>
      <x:c r="L254" t="n">
        <x:v>3</x:v>
      </x:c>
      <x:c r="M254" s="22" t="n">
        <x:v>62621.82</x:v>
      </x:c>
      <x:c r="N254" s="24" t="n">
        <x:v>0.15</x:v>
      </x:c>
      <x:c r="O254" s="22" t="n">
        <x:v>48403.96</x:v>
      </x:c>
      <x:c r="P254" s="22" t="n">
        <x:f>L254*M254*(1-N254)</x:f>
        <x:v>159685.641</x:v>
      </x:c>
      <x:c r="Q254" s="22" t="n">
        <x:f>L254*O254</x:f>
        <x:v>145211.88</x:v>
      </x:c>
      <x:c r="R254" s="22" t="n">
        <x:f>P254-Q254</x:f>
        <x:v>14473.760999999999</x:v>
      </x:c>
      <x:c r="S254" t="str">
        <x:v>Net Banking</x:v>
      </x:c>
      <x:c r="T254" t="str">
        <x:v>Home Office</x:v>
      </x:c>
      <x:c r="U254" t="str">
        <x:v>Mobile App</x:v>
      </x:c>
    </x:row>
    <x:row r="255">
      <x:c r="A255" t="str">
        <x:v>ORD0254</x:v>
      </x:c>
      <x:c r="B255" s="20" t="n">
        <x:v>45677</x:v>
      </x:c>
      <x:c r="C255" t="str">
        <x:v>Priya Patel</x:v>
      </x:c>
      <x:c r="D255" t="str">
        <x:v>Female</x:v>
      </x:c>
      <x:c r="E255" t="str">
        <x:v>46-60</x:v>
      </x:c>
      <x:c r="F255" t="str">
        <x:v>Pune</x:v>
      </x:c>
      <x:c r="G255" t="str">
        <x:v>Maharashtra</x:v>
      </x:c>
      <x:c r="H255" t="str">
        <x:v>West</x:v>
      </x:c>
      <x:c r="I255" t="str">
        <x:v>Home &amp; Furniture</x:v>
      </x:c>
      <x:c r="J255" t="str">
        <x:v>Appliances</x:v>
      </x:c>
      <x:c r="K255" t="str">
        <x:v>Mixer Grinder</x:v>
      </x:c>
      <x:c r="L255" t="n">
        <x:v>4</x:v>
      </x:c>
      <x:c r="M255" s="22" t="n">
        <x:v>4134.8</x:v>
      </x:c>
      <x:c r="N255" s="24" t="n">
        <x:v>0</x:v>
      </x:c>
      <x:c r="O255" s="22" t="n">
        <x:v>2927.43</x:v>
      </x:c>
      <x:c r="P255" s="22" t="n">
        <x:f>L255*M255*(1-N255)</x:f>
        <x:v>16539.2</x:v>
      </x:c>
      <x:c r="Q255" s="22" t="n">
        <x:f>L255*O255</x:f>
        <x:v>11709.72</x:v>
      </x:c>
      <x:c r="R255" s="22" t="n">
        <x:f>P255-Q255</x:f>
        <x:v>4829.480000000001</x:v>
      </x:c>
      <x:c r="S255" t="str">
        <x:v>Debit Card</x:v>
      </x:c>
      <x:c r="T255" t="str">
        <x:v>Corporate</x:v>
      </x:c>
      <x:c r="U255" t="str">
        <x:v>Online</x:v>
      </x:c>
    </x:row>
    <x:row r="256">
      <x:c r="A256" t="str">
        <x:v>ORD0255</x:v>
      </x:c>
      <x:c r="B256" s="20" t="n">
        <x:v>45830</x:v>
      </x:c>
      <x:c r="C256" t="str">
        <x:v>Ananya Verma</x:v>
      </x:c>
      <x:c r="D256" t="str">
        <x:v>Male</x:v>
      </x:c>
      <x:c r="E256" t="str">
        <x:v>36-45</x:v>
      </x:c>
      <x:c r="F256" t="str">
        <x:v>Visakhapatnam</x:v>
      </x:c>
      <x:c r="G256" t="str">
        <x:v>Andhra Pradesh</x:v>
      </x:c>
      <x:c r="H256" t="str">
        <x:v>South</x:v>
      </x:c>
      <x:c r="I256" t="str">
        <x:v>Fashion</x:v>
      </x:c>
      <x:c r="J256" t="str">
        <x:v>Footwear</x:v>
      </x:c>
      <x:c r="K256" t="str">
        <x:v>Running Shoes</x:v>
      </x:c>
      <x:c r="L256" t="n">
        <x:v>1</x:v>
      </x:c>
      <x:c r="M256" s="22" t="n">
        <x:v>3376.99</x:v>
      </x:c>
      <x:c r="N256" s="24" t="n">
        <x:v>0</x:v>
      </x:c>
      <x:c r="O256" s="22" t="n">
        <x:v>2198.52</x:v>
      </x:c>
      <x:c r="P256" s="22" t="n">
        <x:f>L256*M256*(1-N256)</x:f>
        <x:v>3376.99</x:v>
      </x:c>
      <x:c r="Q256" s="22" t="n">
        <x:f>L256*O256</x:f>
        <x:v>2198.52</x:v>
      </x:c>
      <x:c r="R256" s="22" t="n">
        <x:f>P256-Q256</x:f>
        <x:v>1178.4699999999998</x:v>
      </x:c>
      <x:c r="S256" t="str">
        <x:v>Cash on Delivery</x:v>
      </x:c>
      <x:c r="T256" t="str">
        <x:v>Home Office</x:v>
      </x:c>
      <x:c r="U256" t="str">
        <x:v>Retail Store</x:v>
      </x:c>
    </x:row>
    <x:row r="257">
      <x:c r="A257" t="str">
        <x:v>ORD0256</x:v>
      </x:c>
      <x:c r="B257" s="20" t="n">
        <x:v>45703</x:v>
      </x:c>
      <x:c r="C257" t="str">
        <x:v>Vivaan Gupta</x:v>
      </x:c>
      <x:c r="D257" t="str">
        <x:v>Female</x:v>
      </x:c>
      <x:c r="E257" t="str">
        <x:v>18-25</x:v>
      </x:c>
      <x:c r="F257" t="str">
        <x:v>Mumbai</x:v>
      </x:c>
      <x:c r="G257" t="str">
        <x:v>Maharashtra</x:v>
      </x:c>
      <x:c r="H257" t="str">
        <x:v>West</x:v>
      </x:c>
      <x:c r="I257" t="str">
        <x:v>Home &amp; Furniture</x:v>
      </x:c>
      <x:c r="J257" t="str">
        <x:v>Appliances</x:v>
      </x:c>
      <x:c r="K257" t="str">
        <x:v>Air Fryer</x:v>
      </x:c>
      <x:c r="L257" t="n">
        <x:v>4</x:v>
      </x:c>
      <x:c r="M257" s="22" t="n">
        <x:v>7153.67</x:v>
      </x:c>
      <x:c r="N257" s="24" t="n">
        <x:v>0.15</x:v>
      </x:c>
      <x:c r="O257" s="22" t="n">
        <x:v>5232.18</x:v>
      </x:c>
      <x:c r="P257" s="22" t="n">
        <x:f>L257*M257*(1-N257)</x:f>
        <x:v>24322.478</x:v>
      </x:c>
      <x:c r="Q257" s="22" t="n">
        <x:f>L257*O257</x:f>
        <x:v>20928.72</x:v>
      </x:c>
      <x:c r="R257" s="22" t="n">
        <x:f>P257-Q257</x:f>
        <x:v>3393.757999999998</x:v>
      </x:c>
      <x:c r="S257" t="str">
        <x:v>Debit Card</x:v>
      </x:c>
      <x:c r="T257" t="str">
        <x:v>Home Office</x:v>
      </x:c>
      <x:c r="U257" t="str">
        <x:v>Retail Store</x:v>
      </x:c>
    </x:row>
    <x:row r="258">
      <x:c r="A258" t="str">
        <x:v>ORD0257</x:v>
      </x:c>
      <x:c r="B258" s="20" t="n">
        <x:v>45864</x:v>
      </x:c>
      <x:c r="C258" t="str">
        <x:v>Vivaan Verma</x:v>
      </x:c>
      <x:c r="D258" t="str">
        <x:v>Female</x:v>
      </x:c>
      <x:c r="E258" t="str">
        <x:v>36-45</x:v>
      </x:c>
      <x:c r="F258" t="str">
        <x:v>Bengaluru</x:v>
      </x:c>
      <x:c r="G258" t="str">
        <x:v>Karnataka</x:v>
      </x:c>
      <x:c r="H258" t="str">
        <x:v>South</x:v>
      </x:c>
      <x:c r="I258" t="str">
        <x:v>Home &amp; Furniture</x:v>
      </x:c>
      <x:c r="J258" t="str">
        <x:v>Furniture</x:v>
      </x:c>
      <x:c r="K258" t="str">
        <x:v>Office Chair</x:v>
      </x:c>
      <x:c r="L258" t="n">
        <x:v>2</x:v>
      </x:c>
      <x:c r="M258" s="22" t="n">
        <x:v>8530.18</x:v>
      </x:c>
      <x:c r="N258" s="24" t="n">
        <x:v>0</x:v>
      </x:c>
      <x:c r="O258" s="22" t="n">
        <x:v>6386.09</x:v>
      </x:c>
      <x:c r="P258" s="22" t="n">
        <x:f>L258*M258*(1-N258)</x:f>
        <x:v>17060.36</x:v>
      </x:c>
      <x:c r="Q258" s="22" t="n">
        <x:f>L258*O258</x:f>
        <x:v>12772.18</x:v>
      </x:c>
      <x:c r="R258" s="22" t="n">
        <x:f>P258-Q258</x:f>
        <x:v>4288.18</x:v>
      </x:c>
      <x:c r="S258" t="str">
        <x:v>Credit Card</x:v>
      </x:c>
      <x:c r="T258" t="str">
        <x:v>Corporate</x:v>
      </x:c>
      <x:c r="U258" t="str">
        <x:v>Mobile App</x:v>
      </x:c>
    </x:row>
    <x:row r="259">
      <x:c r="A259" t="str">
        <x:v>ORD0258</x:v>
      </x:c>
      <x:c r="B259" s="20" t="n">
        <x:v>45895</x:v>
      </x:c>
      <x:c r="C259" t="str">
        <x:v>Harsha Verma</x:v>
      </x:c>
      <x:c r="D259" t="str">
        <x:v>Female</x:v>
      </x:c>
      <x:c r="E259" t="str">
        <x:v>46-60</x:v>
      </x:c>
      <x:c r="F259" t="str">
        <x:v>Ahmedabad</x:v>
      </x:c>
      <x:c r="G259" t="str">
        <x:v>Gujarat</x:v>
      </x:c>
      <x:c r="H259" t="str">
        <x:v>West</x:v>
      </x:c>
      <x:c r="I259" t="str">
        <x:v>Beauty</x:v>
      </x:c>
      <x:c r="J259" t="str">
        <x:v>Makeup</x:v>
      </x:c>
      <x:c r="K259" t="str">
        <x:v>Makeup Kit</x:v>
      </x:c>
      <x:c r="L259" t="n">
        <x:v>2</x:v>
      </x:c>
      <x:c r="M259" s="22" t="n">
        <x:v>3203.08</x:v>
      </x:c>
      <x:c r="N259" s="24" t="n">
        <x:v>0.05</x:v>
      </x:c>
      <x:c r="O259" s="22" t="n">
        <x:v>1775.36</x:v>
      </x:c>
      <x:c r="P259" s="22" t="n">
        <x:f>L259*M259*(1-N259)</x:f>
        <x:v>6085.852</x:v>
      </x:c>
      <x:c r="Q259" s="22" t="n">
        <x:f>L259*O259</x:f>
        <x:v>3550.72</x:v>
      </x:c>
      <x:c r="R259" s="22" t="n">
        <x:f>P259-Q259</x:f>
        <x:v>2535.132</x:v>
      </x:c>
      <x:c r="S259" t="str">
        <x:v>Net Banking</x:v>
      </x:c>
      <x:c r="T259" t="str">
        <x:v>Home Office</x:v>
      </x:c>
      <x:c r="U259" t="str">
        <x:v>Mobile App</x:v>
      </x:c>
    </x:row>
    <x:row r="260">
      <x:c r="A260" t="str">
        <x:v>ORD0259</x:v>
      </x:c>
      <x:c r="B260" s="20" t="n">
        <x:v>45834</x:v>
      </x:c>
      <x:c r="C260" t="str">
        <x:v>Vivaan Rao</x:v>
      </x:c>
      <x:c r="D260" t="str">
        <x:v>Female</x:v>
      </x:c>
      <x:c r="E260" t="str">
        <x:v>26-35</x:v>
      </x:c>
      <x:c r="F260" t="str">
        <x:v>Pune</x:v>
      </x:c>
      <x:c r="G260" t="str">
        <x:v>Maharashtra</x:v>
      </x:c>
      <x:c r="H260" t="str">
        <x:v>West</x:v>
      </x:c>
      <x:c r="I260" t="str">
        <x:v>Home &amp; Furniture</x:v>
      </x:c>
      <x:c r="J260" t="str">
        <x:v>Appliances</x:v>
      </x:c>
      <x:c r="K260" t="str">
        <x:v>Mixer Grinder</x:v>
      </x:c>
      <x:c r="L260" t="n">
        <x:v>3</x:v>
      </x:c>
      <x:c r="M260" s="22" t="n">
        <x:v>4367.3</x:v>
      </x:c>
      <x:c r="N260" s="24" t="n">
        <x:v>0</x:v>
      </x:c>
      <x:c r="O260" s="22" t="n">
        <x:v>2943.81</x:v>
      </x:c>
      <x:c r="P260" s="22" t="n">
        <x:f>L260*M260*(1-N260)</x:f>
        <x:v>13101.900000000001</x:v>
      </x:c>
      <x:c r="Q260" s="22" t="n">
        <x:f>L260*O260</x:f>
        <x:v>8831.43</x:v>
      </x:c>
      <x:c r="R260" s="22" t="n">
        <x:f>P260-Q260</x:f>
        <x:v>4270.470000000001</x:v>
      </x:c>
      <x:c r="S260" t="str">
        <x:v>Credit Card</x:v>
      </x:c>
      <x:c r="T260" t="str">
        <x:v>Home Office</x:v>
      </x:c>
      <x:c r="U260" t="str">
        <x:v>Online</x:v>
      </x:c>
    </x:row>
    <x:row r="261">
      <x:c r="A261" t="str">
        <x:v>ORD0260</x:v>
      </x:c>
      <x:c r="B261" s="20" t="n">
        <x:v>45795</x:v>
      </x:c>
      <x:c r="C261" t="str">
        <x:v>Rahul Das</x:v>
      </x:c>
      <x:c r="D261" t="str">
        <x:v>Female</x:v>
      </x:c>
      <x:c r="E261" t="str">
        <x:v>26-35</x:v>
      </x:c>
      <x:c r="F261" t="str">
        <x:v>Visakhapatnam</x:v>
      </x:c>
      <x:c r="G261" t="str">
        <x:v>Andhra Pradesh</x:v>
      </x:c>
      <x:c r="H261" t="str">
        <x:v>South</x:v>
      </x:c>
      <x:c r="I261" t="str">
        <x:v>Beauty</x:v>
      </x:c>
      <x:c r="J261" t="str">
        <x:v>Makeup</x:v>
      </x:c>
      <x:c r="K261" t="str">
        <x:v>Makeup Kit</x:v>
      </x:c>
      <x:c r="L261" t="n">
        <x:v>1</x:v>
      </x:c>
      <x:c r="M261" s="22" t="n">
        <x:v>2769.63</x:v>
      </x:c>
      <x:c r="N261" s="24" t="n">
        <x:v>0.1</x:v>
      </x:c>
      <x:c r="O261" s="22" t="n">
        <x:v>1789.24</x:v>
      </x:c>
      <x:c r="P261" s="22" t="n">
        <x:f>L261*M261*(1-N261)</x:f>
        <x:v>2492.6670000000004</x:v>
      </x:c>
      <x:c r="Q261" s="22" t="n">
        <x:f>L261*O261</x:f>
        <x:v>1789.24</x:v>
      </x:c>
      <x:c r="R261" s="22" t="n">
        <x:f>P261-Q261</x:f>
        <x:v>703.4270000000004</x:v>
      </x:c>
      <x:c r="S261" t="str">
        <x:v>Debit Card</x:v>
      </x:c>
      <x:c r="T261" t="str">
        <x:v>Home Office</x:v>
      </x:c>
      <x:c r="U261" t="str">
        <x:v>Mobile App</x:v>
      </x:c>
    </x:row>
    <x:row r="262">
      <x:c r="A262" t="str">
        <x:v>ORD0261</x:v>
      </x:c>
      <x:c r="B262" s="20" t="n">
        <x:v>46022</x:v>
      </x:c>
      <x:c r="C262" t="str">
        <x:v>Pooja Kumar</x:v>
      </x:c>
      <x:c r="D262" t="str">
        <x:v>Male</x:v>
      </x:c>
      <x:c r="E262" t="str">
        <x:v>18-25</x:v>
      </x:c>
      <x:c r="F262" t="str">
        <x:v>Bengaluru</x:v>
      </x:c>
      <x:c r="G262" t="str">
        <x:v>Karnataka</x:v>
      </x:c>
      <x:c r="H262" t="str">
        <x:v>South</x:v>
      </x:c>
      <x:c r="I262" t="str">
        <x:v>Fashion</x:v>
      </x:c>
      <x:c r="J262" t="str">
        <x:v>Accessories</x:v>
      </x:c>
      <x:c r="K262" t="str">
        <x:v>Backpack</x:v>
      </x:c>
      <x:c r="L262" t="n">
        <x:v>4</x:v>
      </x:c>
      <x:c r="M262" s="22" t="n">
        <x:v>2339.21</x:v>
      </x:c>
      <x:c r="N262" s="24" t="n">
        <x:v>0.05</x:v>
      </x:c>
      <x:c r="O262" s="22" t="n">
        <x:v>1336.56</x:v>
      </x:c>
      <x:c r="P262" s="22" t="n">
        <x:f>L262*M262*(1-N262)</x:f>
        <x:v>8888.998</x:v>
      </x:c>
      <x:c r="Q262" s="22" t="n">
        <x:f>L262*O262</x:f>
        <x:v>5346.24</x:v>
      </x:c>
      <x:c r="R262" s="22" t="n">
        <x:f>P262-Q262</x:f>
        <x:v>3542.758</x:v>
      </x:c>
      <x:c r="S262" t="str">
        <x:v>UPI</x:v>
      </x:c>
      <x:c r="T262" t="str">
        <x:v>Home Office</x:v>
      </x:c>
      <x:c r="U262" t="str">
        <x:v>Retail Store</x:v>
      </x:c>
    </x:row>
    <x:row r="263">
      <x:c r="A263" t="str">
        <x:v>ORD0262</x:v>
      </x:c>
      <x:c r="B263" s="20" t="n">
        <x:v>45849</x:v>
      </x:c>
      <x:c r="C263" t="str">
        <x:v>Priya Kumar</x:v>
      </x:c>
      <x:c r="D263" t="str">
        <x:v>Male</x:v>
      </x:c>
      <x:c r="E263" t="str">
        <x:v>36-45</x:v>
      </x:c>
      <x:c r="F263" t="str">
        <x:v>Lucknow</x:v>
      </x:c>
      <x:c r="G263" t="str">
        <x:v>Uttar Pradesh</x:v>
      </x:c>
      <x:c r="H263" t="str">
        <x:v>North</x:v>
      </x:c>
      <x:c r="I263" t="str">
        <x:v>Fashion</x:v>
      </x:c>
      <x:c r="J263" t="str">
        <x:v>Footwear</x:v>
      </x:c>
      <x:c r="K263" t="str">
        <x:v>Running Shoes</x:v>
      </x:c>
      <x:c r="L263" t="n">
        <x:v>3</x:v>
      </x:c>
      <x:c r="M263" s="22" t="n">
        <x:v>3603.27</x:v>
      </x:c>
      <x:c r="N263" s="24" t="n">
        <x:v>0.05</x:v>
      </x:c>
      <x:c r="O263" s="22" t="n">
        <x:v>2196.79</x:v>
      </x:c>
      <x:c r="P263" s="22" t="n">
        <x:f>L263*M263*(1-N263)</x:f>
        <x:v>10269.3195</x:v>
      </x:c>
      <x:c r="Q263" s="22" t="n">
        <x:f>L263*O263</x:f>
        <x:v>6590.37</x:v>
      </x:c>
      <x:c r="R263" s="22" t="n">
        <x:f>P263-Q263</x:f>
        <x:v>3678.9494999999997</x:v>
      </x:c>
      <x:c r="S263" t="str">
        <x:v>Credit Card</x:v>
      </x:c>
      <x:c r="T263" t="str">
        <x:v>Consumer</x:v>
      </x:c>
      <x:c r="U263" t="str">
        <x:v>Retail Store</x:v>
      </x:c>
    </x:row>
    <x:row r="264">
      <x:c r="A264" t="str">
        <x:v>ORD0263</x:v>
      </x:c>
      <x:c r="B264" s="20" t="n">
        <x:v>45781</x:v>
      </x:c>
      <x:c r="C264" t="str">
        <x:v>Ananya Kumar</x:v>
      </x:c>
      <x:c r="D264" t="str">
        <x:v>Male</x:v>
      </x:c>
      <x:c r="E264" t="str">
        <x:v>46-60</x:v>
      </x:c>
      <x:c r="F264" t="str">
        <x:v>Ahmedabad</x:v>
      </x:c>
      <x:c r="G264" t="str">
        <x:v>Gujarat</x:v>
      </x:c>
      <x:c r="H264" t="str">
        <x:v>West</x:v>
      </x:c>
      <x:c r="I264" t="str">
        <x:v>Electronics</x:v>
      </x:c>
      <x:c r="J264" t="str">
        <x:v>Smartwatch</x:v>
      </x:c>
      <x:c r="K264" t="str">
        <x:v>FitTime S2</x:v>
      </x:c>
      <x:c r="L264" t="n">
        <x:v>1</x:v>
      </x:c>
      <x:c r="M264" s="22" t="n">
        <x:v>8205.48</x:v>
      </x:c>
      <x:c r="N264" s="24" t="n">
        <x:v>0.2</x:v>
      </x:c>
      <x:c r="O264" s="22" t="n">
        <x:v>5680.98</x:v>
      </x:c>
      <x:c r="P264" s="22" t="n">
        <x:f>L264*M264*(1-N264)</x:f>
        <x:v>6564.384</x:v>
      </x:c>
      <x:c r="Q264" s="22" t="n">
        <x:f>L264*O264</x:f>
        <x:v>5680.98</x:v>
      </x:c>
      <x:c r="R264" s="22" t="n">
        <x:f>P264-Q264</x:f>
        <x:v>883.4040000000005</x:v>
      </x:c>
      <x:c r="S264" t="str">
        <x:v>Cash on Delivery</x:v>
      </x:c>
      <x:c r="T264" t="str">
        <x:v>Home Office</x:v>
      </x:c>
      <x:c r="U264" t="str">
        <x:v>Online</x:v>
      </x:c>
    </x:row>
    <x:row r="265">
      <x:c r="A265" t="str">
        <x:v>ORD0264</x:v>
      </x:c>
      <x:c r="B265" s="20" t="n">
        <x:v>45956</x:v>
      </x:c>
      <x:c r="C265" t="str">
        <x:v>Sneha Singh</x:v>
      </x:c>
      <x:c r="D265" t="str">
        <x:v>Male</x:v>
      </x:c>
      <x:c r="E265" t="str">
        <x:v>26-35</x:v>
      </x:c>
      <x:c r="F265" t="str">
        <x:v>Bhubaneswar</x:v>
      </x:c>
      <x:c r="G265" t="str">
        <x:v>Odisha</x:v>
      </x:c>
      <x:c r="H265" t="str">
        <x:v>East</x:v>
      </x:c>
      <x:c r="I265" t="str">
        <x:v>Home &amp; Furniture</x:v>
      </x:c>
      <x:c r="J265" t="str">
        <x:v>Appliances</x:v>
      </x:c>
      <x:c r="K265" t="str">
        <x:v>Mixer Grinder</x:v>
      </x:c>
      <x:c r="L265" t="n">
        <x:v>5</x:v>
      </x:c>
      <x:c r="M265" s="22" t="n">
        <x:v>4352.24</x:v>
      </x:c>
      <x:c r="N265" s="24" t="n">
        <x:v>0.2</x:v>
      </x:c>
      <x:c r="O265" s="22" t="n">
        <x:v>2835.59</x:v>
      </x:c>
      <x:c r="P265" s="22" t="n">
        <x:f>L265*M265*(1-N265)</x:f>
        <x:v>17408.96</x:v>
      </x:c>
      <x:c r="Q265" s="22" t="n">
        <x:f>L265*O265</x:f>
        <x:v>14177.95</x:v>
      </x:c>
      <x:c r="R265" s="22" t="n">
        <x:f>P265-Q265</x:f>
        <x:v>3231.0099999999984</x:v>
      </x:c>
      <x:c r="S265" t="str">
        <x:v>Net Banking</x:v>
      </x:c>
      <x:c r="T265" t="str">
        <x:v>Consumer</x:v>
      </x:c>
      <x:c r="U265" t="str">
        <x:v>Mobile App</x:v>
      </x:c>
    </x:row>
    <x:row r="266">
      <x:c r="A266" t="str">
        <x:v>ORD0265</x:v>
      </x:c>
      <x:c r="B266" s="20" t="n">
        <x:v>45707</x:v>
      </x:c>
      <x:c r="C266" t="str">
        <x:v>Priya Reddy</x:v>
      </x:c>
      <x:c r="D266" t="str">
        <x:v>Female</x:v>
      </x:c>
      <x:c r="E266" t="str">
        <x:v>36-45</x:v>
      </x:c>
      <x:c r="F266" t="str">
        <x:v>Lucknow</x:v>
      </x:c>
      <x:c r="G266" t="str">
        <x:v>Uttar Pradesh</x:v>
      </x:c>
      <x:c r="H266" t="str">
        <x:v>North</x:v>
      </x:c>
      <x:c r="I266" t="str">
        <x:v>Beauty</x:v>
      </x:c>
      <x:c r="J266" t="str">
        <x:v>Skincare</x:v>
      </x:c>
      <x:c r="K266" t="str">
        <x:v>Face Serum</x:v>
      </x:c>
      <x:c r="L266" t="n">
        <x:v>5</x:v>
      </x:c>
      <x:c r="M266" s="22" t="n">
        <x:v>1142.4</x:v>
      </x:c>
      <x:c r="N266" s="24" t="n">
        <x:v>0</x:v>
      </x:c>
      <x:c r="O266" s="22" t="n">
        <x:v>610.81</x:v>
      </x:c>
      <x:c r="P266" s="22" t="n">
        <x:f>L266*M266*(1-N266)</x:f>
        <x:v>5712</x:v>
      </x:c>
      <x:c r="Q266" s="22" t="n">
        <x:f>L266*O266</x:f>
        <x:v>3054.0499999999997</x:v>
      </x:c>
      <x:c r="R266" s="22" t="n">
        <x:f>P266-Q266</x:f>
        <x:v>2657.9500000000003</x:v>
      </x:c>
      <x:c r="S266" t="str">
        <x:v>Credit Card</x:v>
      </x:c>
      <x:c r="T266" t="str">
        <x:v>Home Office</x:v>
      </x:c>
      <x:c r="U266" t="str">
        <x:v>Mobile App</x:v>
      </x:c>
    </x:row>
    <x:row r="267">
      <x:c r="A267" t="str">
        <x:v>ORD0266</x:v>
      </x:c>
      <x:c r="B267" s="20" t="n">
        <x:v>45873</x:v>
      </x:c>
      <x:c r="C267" t="str">
        <x:v>Nikhil Das</x:v>
      </x:c>
      <x:c r="D267" t="str">
        <x:v>Female</x:v>
      </x:c>
      <x:c r="E267" t="str">
        <x:v>46-60</x:v>
      </x:c>
      <x:c r="F267" t="str">
        <x:v>Hyderabad</x:v>
      </x:c>
      <x:c r="G267" t="str">
        <x:v>Telangana</x:v>
      </x:c>
      <x:c r="H267" t="str">
        <x:v>South</x:v>
      </x:c>
      <x:c r="I267" t="str">
        <x:v>Fashion</x:v>
      </x:c>
      <x:c r="J267" t="str">
        <x:v>Footwear</x:v>
      </x:c>
      <x:c r="K267" t="str">
        <x:v>Running Shoes</x:v>
      </x:c>
      <x:c r="L267" t="n">
        <x:v>1</x:v>
      </x:c>
      <x:c r="M267" s="22" t="n">
        <x:v>3365.91</x:v>
      </x:c>
      <x:c r="N267" s="24" t="n">
        <x:v>0.1</x:v>
      </x:c>
      <x:c r="O267" s="22" t="n">
        <x:v>2163.75</x:v>
      </x:c>
      <x:c r="P267" s="22" t="n">
        <x:f>L267*M267*(1-N267)</x:f>
        <x:v>3029.319</x:v>
      </x:c>
      <x:c r="Q267" s="22" t="n">
        <x:f>L267*O267</x:f>
        <x:v>2163.75</x:v>
      </x:c>
      <x:c r="R267" s="22" t="n">
        <x:f>P267-Q267</x:f>
        <x:v>865.569</x:v>
      </x:c>
      <x:c r="S267" t="str">
        <x:v>Credit Card</x:v>
      </x:c>
      <x:c r="T267" t="str">
        <x:v>Home Office</x:v>
      </x:c>
      <x:c r="U267" t="str">
        <x:v>Online</x:v>
      </x:c>
    </x:row>
    <x:row r="268">
      <x:c r="A268" t="str">
        <x:v>ORD0267</x:v>
      </x:c>
      <x:c r="B268" s="20" t="n">
        <x:v>46006</x:v>
      </x:c>
      <x:c r="C268" t="str">
        <x:v>Priya Naidu</x:v>
      </x:c>
      <x:c r="D268" t="str">
        <x:v>Male</x:v>
      </x:c>
      <x:c r="E268" t="str">
        <x:v>26-35</x:v>
      </x:c>
      <x:c r="F268" t="str">
        <x:v>Bengaluru</x:v>
      </x:c>
      <x:c r="G268" t="str">
        <x:v>Karnataka</x:v>
      </x:c>
      <x:c r="H268" t="str">
        <x:v>South</x:v>
      </x:c>
      <x:c r="I268" t="str">
        <x:v>Beauty</x:v>
      </x:c>
      <x:c r="J268" t="str">
        <x:v>Makeup</x:v>
      </x:c>
      <x:c r="K268" t="str">
        <x:v>Makeup Kit</x:v>
      </x:c>
      <x:c r="L268" t="n">
        <x:v>2</x:v>
      </x:c>
      <x:c r="M268" s="22" t="n">
        <x:v>2903.21</x:v>
      </x:c>
      <x:c r="N268" s="24" t="n">
        <x:v>0</x:v>
      </x:c>
      <x:c r="O268" s="22" t="n">
        <x:v>1687.57</x:v>
      </x:c>
      <x:c r="P268" s="22" t="n">
        <x:f>L268*M268*(1-N268)</x:f>
        <x:v>5806.42</x:v>
      </x:c>
      <x:c r="Q268" s="22" t="n">
        <x:f>L268*O268</x:f>
        <x:v>3375.14</x:v>
      </x:c>
      <x:c r="R268" s="22" t="n">
        <x:f>P268-Q268</x:f>
        <x:v>2431.28</x:v>
      </x:c>
      <x:c r="S268" t="str">
        <x:v>Debit Card</x:v>
      </x:c>
      <x:c r="T268" t="str">
        <x:v>Home Office</x:v>
      </x:c>
      <x:c r="U268" t="str">
        <x:v>Online</x:v>
      </x:c>
    </x:row>
    <x:row r="269">
      <x:c r="A269" t="str">
        <x:v>ORD0268</x:v>
      </x:c>
      <x:c r="B269" s="20" t="n">
        <x:v>45699</x:v>
      </x:c>
      <x:c r="C269" t="str">
        <x:v>Neha Patel</x:v>
      </x:c>
      <x:c r="D269" t="str">
        <x:v>Female</x:v>
      </x:c>
      <x:c r="E269" t="str">
        <x:v>26-35</x:v>
      </x:c>
      <x:c r="F269" t="str">
        <x:v>Ahmedabad</x:v>
      </x:c>
      <x:c r="G269" t="str">
        <x:v>Gujarat</x:v>
      </x:c>
      <x:c r="H269" t="str">
        <x:v>West</x:v>
      </x:c>
      <x:c r="I269" t="str">
        <x:v>Beauty</x:v>
      </x:c>
      <x:c r="J269" t="str">
        <x:v>Haircare</x:v>
      </x:c>
      <x:c r="K269" t="str">
        <x:v>Hair Dryer</x:v>
      </x:c>
      <x:c r="L269" t="n">
        <x:v>1</x:v>
      </x:c>
      <x:c r="M269" s="22" t="n">
        <x:v>2450.32</x:v>
      </x:c>
      <x:c r="N269" s="24" t="n">
        <x:v>0</x:v>
      </x:c>
      <x:c r="O269" s="22" t="n">
        <x:v>1412.51</x:v>
      </x:c>
      <x:c r="P269" s="22" t="n">
        <x:f>L269*M269*(1-N269)</x:f>
        <x:v>2450.32</x:v>
      </x:c>
      <x:c r="Q269" s="22" t="n">
        <x:f>L269*O269</x:f>
        <x:v>1412.51</x:v>
      </x:c>
      <x:c r="R269" s="22" t="n">
        <x:f>P269-Q269</x:f>
        <x:v>1037.8100000000002</x:v>
      </x:c>
      <x:c r="S269" t="str">
        <x:v>Cash on Delivery</x:v>
      </x:c>
      <x:c r="T269" t="str">
        <x:v>Consumer</x:v>
      </x:c>
      <x:c r="U269" t="str">
        <x:v>Online</x:v>
      </x:c>
    </x:row>
    <x:row r="270">
      <x:c r="A270" t="str">
        <x:v>ORD0269</x:v>
      </x:c>
      <x:c r="B270" s="20" t="n">
        <x:v>45972</x:v>
      </x:c>
      <x:c r="C270" t="str">
        <x:v>Vivaan Gupta</x:v>
      </x:c>
      <x:c r="D270" t="str">
        <x:v>Female</x:v>
      </x:c>
      <x:c r="E270" t="str">
        <x:v>36-45</x:v>
      </x:c>
      <x:c r="F270" t="str">
        <x:v>Hyderabad</x:v>
      </x:c>
      <x:c r="G270" t="str">
        <x:v>Telangana</x:v>
      </x:c>
      <x:c r="H270" t="str">
        <x:v>South</x:v>
      </x:c>
      <x:c r="I270" t="str">
        <x:v>Beauty</x:v>
      </x:c>
      <x:c r="J270" t="str">
        <x:v>Makeup</x:v>
      </x:c>
      <x:c r="K270" t="str">
        <x:v>Makeup Kit</x:v>
      </x:c>
      <x:c r="L270" t="n">
        <x:v>4</x:v>
      </x:c>
      <x:c r="M270" s="22" t="n">
        <x:v>2966.12</x:v>
      </x:c>
      <x:c r="N270" s="24" t="n">
        <x:v>0.1</x:v>
      </x:c>
      <x:c r="O270" s="22" t="n">
        <x:v>1740.06</x:v>
      </x:c>
      <x:c r="P270" s="22" t="n">
        <x:f>L270*M270*(1-N270)</x:f>
        <x:v>10678.032</x:v>
      </x:c>
      <x:c r="Q270" s="22" t="n">
        <x:f>L270*O270</x:f>
        <x:v>6960.24</x:v>
      </x:c>
      <x:c r="R270" s="22" t="n">
        <x:f>P270-Q270</x:f>
        <x:v>3717.7919999999995</x:v>
      </x:c>
      <x:c r="S270" t="str">
        <x:v>UPI</x:v>
      </x:c>
      <x:c r="T270" t="str">
        <x:v>Corporate</x:v>
      </x:c>
      <x:c r="U270" t="str">
        <x:v>Retail Store</x:v>
      </x:c>
    </x:row>
    <x:row r="271">
      <x:c r="A271" t="str">
        <x:v>ORD0270</x:v>
      </x:c>
      <x:c r="B271" s="20" t="n">
        <x:v>45755</x:v>
      </x:c>
      <x:c r="C271" t="str">
        <x:v>Arjun Naidu</x:v>
      </x:c>
      <x:c r="D271" t="str">
        <x:v>Male</x:v>
      </x:c>
      <x:c r="E271" t="str">
        <x:v>26-35</x:v>
      </x:c>
      <x:c r="F271" t="str">
        <x:v>Visakhapatnam</x:v>
      </x:c>
      <x:c r="G271" t="str">
        <x:v>Andhra Pradesh</x:v>
      </x:c>
      <x:c r="H271" t="str">
        <x:v>South</x:v>
      </x:c>
      <x:c r="I271" t="str">
        <x:v>Electronics</x:v>
      </x:c>
      <x:c r="J271" t="str">
        <x:v>Laptop</x:v>
      </x:c>
      <x:c r="K271" t="str">
        <x:v>AeroBook 14</x:v>
      </x:c>
      <x:c r="L271" t="n">
        <x:v>3</x:v>
      </x:c>
      <x:c r="M271" s="22" t="n">
        <x:v>63256.73</x:v>
      </x:c>
      <x:c r="N271" s="24" t="n">
        <x:v>0.05</x:v>
      </x:c>
      <x:c r="O271" s="22" t="n">
        <x:v>48995.29</x:v>
      </x:c>
      <x:c r="P271" s="22" t="n">
        <x:f>L271*M271*(1-N271)</x:f>
        <x:v>180281.6805</x:v>
      </x:c>
      <x:c r="Q271" s="22" t="n">
        <x:f>L271*O271</x:f>
        <x:v>146985.87</x:v>
      </x:c>
      <x:c r="R271" s="22" t="n">
        <x:f>P271-Q271</x:f>
        <x:v>33295.81049999999</x:v>
      </x:c>
      <x:c r="S271" t="str">
        <x:v>UPI</x:v>
      </x:c>
      <x:c r="T271" t="str">
        <x:v>Consumer</x:v>
      </x:c>
      <x:c r="U271" t="str">
        <x:v>Mobile App</x:v>
      </x:c>
    </x:row>
    <x:row r="272">
      <x:c r="A272" t="str">
        <x:v>ORD0271</x:v>
      </x:c>
      <x:c r="B272" s="20" t="n">
        <x:v>45806</x:v>
      </x:c>
      <x:c r="C272" t="str">
        <x:v>Priya Verma</x:v>
      </x:c>
      <x:c r="D272" t="str">
        <x:v>Male</x:v>
      </x:c>
      <x:c r="E272" t="str">
        <x:v>26-35</x:v>
      </x:c>
      <x:c r="F272" t="str">
        <x:v>Visakhapatnam</x:v>
      </x:c>
      <x:c r="G272" t="str">
        <x:v>Andhra Pradesh</x:v>
      </x:c>
      <x:c r="H272" t="str">
        <x:v>South</x:v>
      </x:c>
      <x:c r="I272" t="str">
        <x:v>Beauty</x:v>
      </x:c>
      <x:c r="J272" t="str">
        <x:v>Makeup</x:v>
      </x:c>
      <x:c r="K272" t="str">
        <x:v>Makeup Kit</x:v>
      </x:c>
      <x:c r="L272" t="n">
        <x:v>4</x:v>
      </x:c>
      <x:c r="M272" s="22" t="n">
        <x:v>3009.74</x:v>
      </x:c>
      <x:c r="N272" s="24" t="n">
        <x:v>0.2</x:v>
      </x:c>
      <x:c r="O272" s="22" t="n">
        <x:v>1753.38</x:v>
      </x:c>
      <x:c r="P272" s="22" t="n">
        <x:f>L272*M272*(1-N272)</x:f>
        <x:v>9631.168</x:v>
      </x:c>
      <x:c r="Q272" s="22" t="n">
        <x:f>L272*O272</x:f>
        <x:v>7013.52</x:v>
      </x:c>
      <x:c r="R272" s="22" t="n">
        <x:f>P272-Q272</x:f>
        <x:v>2617.6479999999992</x:v>
      </x:c>
      <x:c r="S272" t="str">
        <x:v>Credit Card</x:v>
      </x:c>
      <x:c r="T272" t="str">
        <x:v>Corporate</x:v>
      </x:c>
      <x:c r="U272" t="str">
        <x:v>Online</x:v>
      </x:c>
    </x:row>
    <x:row r="273">
      <x:c r="A273" t="str">
        <x:v>ORD0272</x:v>
      </x:c>
      <x:c r="B273" s="20" t="n">
        <x:v>45774</x:v>
      </x:c>
      <x:c r="C273" t="str">
        <x:v>Kavya Sharma</x:v>
      </x:c>
      <x:c r="D273" t="str">
        <x:v>Male</x:v>
      </x:c>
      <x:c r="E273" t="str">
        <x:v>36-45</x:v>
      </x:c>
      <x:c r="F273" t="str">
        <x:v>Vijayawada</x:v>
      </x:c>
      <x:c r="G273" t="str">
        <x:v>Andhra Pradesh</x:v>
      </x:c>
      <x:c r="H273" t="str">
        <x:v>South</x:v>
      </x:c>
      <x:c r="I273" t="str">
        <x:v>Home &amp; Furniture</x:v>
      </x:c>
      <x:c r="J273" t="str">
        <x:v>Furniture</x:v>
      </x:c>
      <x:c r="K273" t="str">
        <x:v>Study Table</x:v>
      </x:c>
      <x:c r="L273" t="n">
        <x:v>5</x:v>
      </x:c>
      <x:c r="M273" s="22" t="n">
        <x:v>11922.38</x:v>
      </x:c>
      <x:c r="N273" s="24" t="n">
        <x:v>0</x:v>
      </x:c>
      <x:c r="O273" s="22" t="n">
        <x:v>8463.43</x:v>
      </x:c>
      <x:c r="P273" s="22" t="n">
        <x:f>L273*M273*(1-N273)</x:f>
        <x:v>59611.899999999994</x:v>
      </x:c>
      <x:c r="Q273" s="22" t="n">
        <x:f>L273*O273</x:f>
        <x:v>42317.15</x:v>
      </x:c>
      <x:c r="R273" s="22" t="n">
        <x:f>P273-Q273</x:f>
        <x:v>17294.749999999993</x:v>
      </x:c>
      <x:c r="S273" t="str">
        <x:v>Net Banking</x:v>
      </x:c>
      <x:c r="T273" t="str">
        <x:v>Home Office</x:v>
      </x:c>
      <x:c r="U273" t="str">
        <x:v>Online</x:v>
      </x:c>
    </x:row>
    <x:row r="274">
      <x:c r="A274" t="str">
        <x:v>ORD0273</x:v>
      </x:c>
      <x:c r="B274" s="20" t="n">
        <x:v>45962</x:v>
      </x:c>
      <x:c r="C274" t="str">
        <x:v>Divya Reddy</x:v>
      </x:c>
      <x:c r="D274" t="str">
        <x:v>Male</x:v>
      </x:c>
      <x:c r="E274" t="str">
        <x:v>46-60</x:v>
      </x:c>
      <x:c r="F274" t="str">
        <x:v>Ahmedabad</x:v>
      </x:c>
      <x:c r="G274" t="str">
        <x:v>Gujarat</x:v>
      </x:c>
      <x:c r="H274" t="str">
        <x:v>West</x:v>
      </x:c>
      <x:c r="I274" t="str">
        <x:v>Electronics</x:v>
      </x:c>
      <x:c r="J274" t="str">
        <x:v>Laptop</x:v>
      </x:c>
      <x:c r="K274" t="str">
        <x:v>AeroBook 14</x:v>
      </x:c>
      <x:c r="L274" t="n">
        <x:v>1</x:v>
      </x:c>
      <x:c r="M274" s="22" t="n">
        <x:v>63523.39</x:v>
      </x:c>
      <x:c r="N274" s="24" t="n">
        <x:v>0.1</x:v>
      </x:c>
      <x:c r="O274" s="22" t="n">
        <x:v>48078.97</x:v>
      </x:c>
      <x:c r="P274" s="22" t="n">
        <x:f>L274*M274*(1-N274)</x:f>
        <x:v>57171.051</x:v>
      </x:c>
      <x:c r="Q274" s="22" t="n">
        <x:f>L274*O274</x:f>
        <x:v>48078.97</x:v>
      </x:c>
      <x:c r="R274" s="22" t="n">
        <x:f>P274-Q274</x:f>
        <x:v>9092.080999999998</x:v>
      </x:c>
      <x:c r="S274" t="str">
        <x:v>Credit Card</x:v>
      </x:c>
      <x:c r="T274" t="str">
        <x:v>Consumer</x:v>
      </x:c>
      <x:c r="U274" t="str">
        <x:v>Retail Store</x:v>
      </x:c>
    </x:row>
    <x:row r="275">
      <x:c r="A275" t="str">
        <x:v>ORD0274</x:v>
      </x:c>
      <x:c r="B275" s="20" t="n">
        <x:v>46009</x:v>
      </x:c>
      <x:c r="C275" t="str">
        <x:v>Harsha Rao</x:v>
      </x:c>
      <x:c r="D275" t="str">
        <x:v>Male</x:v>
      </x:c>
      <x:c r="E275" t="str">
        <x:v>18-25</x:v>
      </x:c>
      <x:c r="F275" t="str">
        <x:v>Jaipur</x:v>
      </x:c>
      <x:c r="G275" t="str">
        <x:v>Rajasthan</x:v>
      </x:c>
      <x:c r="H275" t="str">
        <x:v>North</x:v>
      </x:c>
      <x:c r="I275" t="str">
        <x:v>Electronics</x:v>
      </x:c>
      <x:c r="J275" t="str">
        <x:v>Headphones</x:v>
      </x:c>
      <x:c r="K275" t="str">
        <x:v>SoundMax Pro</x:v>
      </x:c>
      <x:c r="L275" t="n">
        <x:v>5</x:v>
      </x:c>
      <x:c r="M275" s="22" t="n">
        <x:v>4443.03</x:v>
      </x:c>
      <x:c r="N275" s="24" t="n">
        <x:v>0.05</x:v>
      </x:c>
      <x:c r="O275" s="22" t="n">
        <x:v>2904.24</x:v>
      </x:c>
      <x:c r="P275" s="22" t="n">
        <x:f>L275*M275*(1-N275)</x:f>
        <x:v>21104.392499999998</x:v>
      </x:c>
      <x:c r="Q275" s="22" t="n">
        <x:f>L275*O275</x:f>
        <x:v>14521.199999999999</x:v>
      </x:c>
      <x:c r="R275" s="22" t="n">
        <x:f>P275-Q275</x:f>
        <x:v>6583.192499999999</x:v>
      </x:c>
      <x:c r="S275" t="str">
        <x:v>Net Banking</x:v>
      </x:c>
      <x:c r="T275" t="str">
        <x:v>Home Office</x:v>
      </x:c>
      <x:c r="U275" t="str">
        <x:v>Retail Store</x:v>
      </x:c>
    </x:row>
    <x:row r="276">
      <x:c r="A276" t="str">
        <x:v>ORD0275</x:v>
      </x:c>
      <x:c r="B276" s="20" t="n">
        <x:v>45718</x:v>
      </x:c>
      <x:c r="C276" t="str">
        <x:v>Neha Gupta</x:v>
      </x:c>
      <x:c r="D276" t="str">
        <x:v>Female</x:v>
      </x:c>
      <x:c r="E276" t="str">
        <x:v>36-45</x:v>
      </x:c>
      <x:c r="F276" t="str">
        <x:v>Bhubaneswar</x:v>
      </x:c>
      <x:c r="G276" t="str">
        <x:v>Odisha</x:v>
      </x:c>
      <x:c r="H276" t="str">
        <x:v>East</x:v>
      </x:c>
      <x:c r="I276" t="str">
        <x:v>Fashion</x:v>
      </x:c>
      <x:c r="J276" t="str">
        <x:v>Men</x:v>
      </x:c>
      <x:c r="K276" t="str">
        <x:v>Casual Shirt</x:v>
      </x:c>
      <x:c r="L276" t="n">
        <x:v>5</x:v>
      </x:c>
      <x:c r="M276" s="22" t="n">
        <x:v>1672.9</x:v>
      </x:c>
      <x:c r="N276" s="24" t="n">
        <x:v>0</x:v>
      </x:c>
      <x:c r="O276" s="22" t="n">
        <x:v>899.84</x:v>
      </x:c>
      <x:c r="P276" s="22" t="n">
        <x:f>L276*M276*(1-N276)</x:f>
        <x:v>8364.5</x:v>
      </x:c>
      <x:c r="Q276" s="22" t="n">
        <x:f>L276*O276</x:f>
        <x:v>4499.2</x:v>
      </x:c>
      <x:c r="R276" s="22" t="n">
        <x:f>P276-Q276</x:f>
        <x:v>3865.3</x:v>
      </x:c>
      <x:c r="S276" t="str">
        <x:v>Cash on Delivery</x:v>
      </x:c>
      <x:c r="T276" t="str">
        <x:v>Corporate</x:v>
      </x:c>
      <x:c r="U276" t="str">
        <x:v>Online</x:v>
      </x:c>
    </x:row>
    <x:row r="277">
      <x:c r="A277" t="str">
        <x:v>ORD0276</x:v>
      </x:c>
      <x:c r="B277" s="20" t="n">
        <x:v>45678</x:v>
      </x:c>
      <x:c r="C277" t="str">
        <x:v>Aditya Reddy</x:v>
      </x:c>
      <x:c r="D277" t="str">
        <x:v>Male</x:v>
      </x:c>
      <x:c r="E277" t="str">
        <x:v>26-35</x:v>
      </x:c>
      <x:c r="F277" t="str">
        <x:v>Hyderabad</x:v>
      </x:c>
      <x:c r="G277" t="str">
        <x:v>Telangana</x:v>
      </x:c>
      <x:c r="H277" t="str">
        <x:v>South</x:v>
      </x:c>
      <x:c r="I277" t="str">
        <x:v>Beauty</x:v>
      </x:c>
      <x:c r="J277" t="str">
        <x:v>Skincare</x:v>
      </x:c>
      <x:c r="K277" t="str">
        <x:v>Face Serum</x:v>
      </x:c>
      <x:c r="L277" t="n">
        <x:v>2</x:v>
      </x:c>
      <x:c r="M277" s="22" t="n">
        <x:v>1133.12</x:v>
      </x:c>
      <x:c r="N277" s="24" t="n">
        <x:v>0</x:v>
      </x:c>
      <x:c r="O277" s="22" t="n">
        <x:v>599.07</x:v>
      </x:c>
      <x:c r="P277" s="22" t="n">
        <x:f>L277*M277*(1-N277)</x:f>
        <x:v>2266.24</x:v>
      </x:c>
      <x:c r="Q277" s="22" t="n">
        <x:f>L277*O277</x:f>
        <x:v>1198.14</x:v>
      </x:c>
      <x:c r="R277" s="22" t="n">
        <x:f>P277-Q277</x:f>
        <x:v>1068.0999999999997</x:v>
      </x:c>
      <x:c r="S277" t="str">
        <x:v>UPI</x:v>
      </x:c>
      <x:c r="T277" t="str">
        <x:v>Home Office</x:v>
      </x:c>
      <x:c r="U277" t="str">
        <x:v>Online</x:v>
      </x:c>
    </x:row>
    <x:row r="278">
      <x:c r="A278" t="str">
        <x:v>ORD0277</x:v>
      </x:c>
      <x:c r="B278" s="20" t="n">
        <x:v>45709</x:v>
      </x:c>
      <x:c r="C278" t="str">
        <x:v>Arjun Rao</x:v>
      </x:c>
      <x:c r="D278" t="str">
        <x:v>Female</x:v>
      </x:c>
      <x:c r="E278" t="str">
        <x:v>36-45</x:v>
      </x:c>
      <x:c r="F278" t="str">
        <x:v>Hyderabad</x:v>
      </x:c>
      <x:c r="G278" t="str">
        <x:v>Telangana</x:v>
      </x:c>
      <x:c r="H278" t="str">
        <x:v>South</x:v>
      </x:c>
      <x:c r="I278" t="str">
        <x:v>Fashion</x:v>
      </x:c>
      <x:c r="J278" t="str">
        <x:v>Women</x:v>
      </x:c>
      <x:c r="K278" t="str">
        <x:v>Kurti</x:v>
      </x:c>
      <x:c r="L278" t="n">
        <x:v>3</x:v>
      </x:c>
      <x:c r="M278" s="22" t="n">
        <x:v>1787.54</x:v>
      </x:c>
      <x:c r="N278" s="24" t="n">
        <x:v>0.1</x:v>
      </x:c>
      <x:c r="O278" s="22" t="n">
        <x:v>1038.18</x:v>
      </x:c>
      <x:c r="P278" s="22" t="n">
        <x:f>L278*M278*(1-N278)</x:f>
        <x:v>4826.358</x:v>
      </x:c>
      <x:c r="Q278" s="22" t="n">
        <x:f>L278*O278</x:f>
        <x:v>3114.54</x:v>
      </x:c>
      <x:c r="R278" s="22" t="n">
        <x:f>P278-Q278</x:f>
        <x:v>1711.8180000000002</x:v>
      </x:c>
      <x:c r="S278" t="str">
        <x:v>Debit Card</x:v>
      </x:c>
      <x:c r="T278" t="str">
        <x:v>Home Office</x:v>
      </x:c>
      <x:c r="U278" t="str">
        <x:v>Mobile App</x:v>
      </x:c>
    </x:row>
    <x:row r="279">
      <x:c r="A279" t="str">
        <x:v>ORD0278</x:v>
      </x:c>
      <x:c r="B279" s="20" t="n">
        <x:v>45876</x:v>
      </x:c>
      <x:c r="C279" t="str">
        <x:v>Rahul Singh</x:v>
      </x:c>
      <x:c r="D279" t="str">
        <x:v>Male</x:v>
      </x:c>
      <x:c r="E279" t="str">
        <x:v>46-60</x:v>
      </x:c>
      <x:c r="F279" t="str">
        <x:v>Lucknow</x:v>
      </x:c>
      <x:c r="G279" t="str">
        <x:v>Uttar Pradesh</x:v>
      </x:c>
      <x:c r="H279" t="str">
        <x:v>North</x:v>
      </x:c>
      <x:c r="I279" t="str">
        <x:v>Electronics</x:v>
      </x:c>
      <x:c r="J279" t="str">
        <x:v>Laptop</x:v>
      </x:c>
      <x:c r="K279" t="str">
        <x:v>AeroBook 14</x:v>
      </x:c>
      <x:c r="L279" t="n">
        <x:v>1</x:v>
      </x:c>
      <x:c r="M279" s="22" t="n">
        <x:v>65484.36</x:v>
      </x:c>
      <x:c r="N279" s="24" t="n">
        <x:v>0</x:v>
      </x:c>
      <x:c r="O279" s="22" t="n">
        <x:v>51561.17</x:v>
      </x:c>
      <x:c r="P279" s="22" t="n">
        <x:f>L279*M279*(1-N279)</x:f>
        <x:v>65484.36</x:v>
      </x:c>
      <x:c r="Q279" s="22" t="n">
        <x:f>L279*O279</x:f>
        <x:v>51561.17</x:v>
      </x:c>
      <x:c r="R279" s="22" t="n">
        <x:f>P279-Q279</x:f>
        <x:v>13923.190000000002</x:v>
      </x:c>
      <x:c r="S279" t="str">
        <x:v>Net Banking</x:v>
      </x:c>
      <x:c r="T279" t="str">
        <x:v>Corporate</x:v>
      </x:c>
      <x:c r="U279" t="str">
        <x:v>Retail Store</x:v>
      </x:c>
    </x:row>
    <x:row r="280">
      <x:c r="A280" t="str">
        <x:v>ORD0279</x:v>
      </x:c>
      <x:c r="B280" s="20" t="n">
        <x:v>45705</x:v>
      </x:c>
      <x:c r="C280" t="str">
        <x:v>Sneha Naidu</x:v>
      </x:c>
      <x:c r="D280" t="str">
        <x:v>Female</x:v>
      </x:c>
      <x:c r="E280" t="str">
        <x:v>18-25</x:v>
      </x:c>
      <x:c r="F280" t="str">
        <x:v>Pune</x:v>
      </x:c>
      <x:c r="G280" t="str">
        <x:v>Maharashtra</x:v>
      </x:c>
      <x:c r="H280" t="str">
        <x:v>West</x:v>
      </x:c>
      <x:c r="I280" t="str">
        <x:v>Fashion</x:v>
      </x:c>
      <x:c r="J280" t="str">
        <x:v>Footwear</x:v>
      </x:c>
      <x:c r="K280" t="str">
        <x:v>Running Shoes</x:v>
      </x:c>
      <x:c r="L280" t="n">
        <x:v>4</x:v>
      </x:c>
      <x:c r="M280" s="22" t="n">
        <x:v>3322.41</x:v>
      </x:c>
      <x:c r="N280" s="24" t="n">
        <x:v>0.05</x:v>
      </x:c>
      <x:c r="O280" s="22" t="n">
        <x:v>2182.54</x:v>
      </x:c>
      <x:c r="P280" s="22" t="n">
        <x:f>L280*M280*(1-N280)</x:f>
        <x:v>12625.158</x:v>
      </x:c>
      <x:c r="Q280" s="22" t="n">
        <x:f>L280*O280</x:f>
        <x:v>8730.16</x:v>
      </x:c>
      <x:c r="R280" s="22" t="n">
        <x:f>P280-Q280</x:f>
        <x:v>3894.9979999999996</x:v>
      </x:c>
      <x:c r="S280" t="str">
        <x:v>Credit Card</x:v>
      </x:c>
      <x:c r="T280" t="str">
        <x:v>Home Office</x:v>
      </x:c>
      <x:c r="U280" t="str">
        <x:v>Retail Store</x:v>
      </x:c>
    </x:row>
    <x:row r="281">
      <x:c r="A281" t="str">
        <x:v>ORD0280</x:v>
      </x:c>
      <x:c r="B281" s="20" t="n">
        <x:v>45688</x:v>
      </x:c>
      <x:c r="C281" t="str">
        <x:v>Rahul Das</x:v>
      </x:c>
      <x:c r="D281" t="str">
        <x:v>Male</x:v>
      </x:c>
      <x:c r="E281" t="str">
        <x:v>36-45</x:v>
      </x:c>
      <x:c r="F281" t="str">
        <x:v>Ahmedabad</x:v>
      </x:c>
      <x:c r="G281" t="str">
        <x:v>Gujarat</x:v>
      </x:c>
      <x:c r="H281" t="str">
        <x:v>West</x:v>
      </x:c>
      <x:c r="I281" t="str">
        <x:v>Home &amp; Furniture</x:v>
      </x:c>
      <x:c r="J281" t="str">
        <x:v>Furniture</x:v>
      </x:c>
      <x:c r="K281" t="str">
        <x:v>Office Chair</x:v>
      </x:c>
      <x:c r="L281" t="n">
        <x:v>5</x:v>
      </x:c>
      <x:c r="M281" s="22" t="n">
        <x:v>8879.08</x:v>
      </x:c>
      <x:c r="N281" s="24" t="n">
        <x:v>0.2</x:v>
      </x:c>
      <x:c r="O281" s="22" t="n">
        <x:v>6245.01</x:v>
      </x:c>
      <x:c r="P281" s="22" t="n">
        <x:f>L281*M281*(1-N281)</x:f>
        <x:v>35516.32</x:v>
      </x:c>
      <x:c r="Q281" s="22" t="n">
        <x:f>L281*O281</x:f>
        <x:v>31225.050000000003</x:v>
      </x:c>
      <x:c r="R281" s="22" t="n">
        <x:f>P281-Q281</x:f>
        <x:v>4291.269999999997</x:v>
      </x:c>
      <x:c r="S281" t="str">
        <x:v>Net Banking</x:v>
      </x:c>
      <x:c r="T281" t="str">
        <x:v>Consumer</x:v>
      </x:c>
      <x:c r="U281" t="str">
        <x:v>Retail Store</x:v>
      </x:c>
    </x:row>
    <x:row r="282">
      <x:c r="A282" t="str">
        <x:v>ORD0281</x:v>
      </x:c>
      <x:c r="B282" s="20" t="n">
        <x:v>45724</x:v>
      </x:c>
      <x:c r="C282" t="str">
        <x:v>Priya Sharma</x:v>
      </x:c>
      <x:c r="D282" t="str">
        <x:v>Female</x:v>
      </x:c>
      <x:c r="E282" t="str">
        <x:v>36-45</x:v>
      </x:c>
      <x:c r="F282" t="str">
        <x:v>Chennai</x:v>
      </x:c>
      <x:c r="G282" t="str">
        <x:v>Tamil Nadu</x:v>
      </x:c>
      <x:c r="H282" t="str">
        <x:v>South</x:v>
      </x:c>
      <x:c r="I282" t="str">
        <x:v>Beauty</x:v>
      </x:c>
      <x:c r="J282" t="str">
        <x:v>Haircare</x:v>
      </x:c>
      <x:c r="K282" t="str">
        <x:v>Hair Dryer</x:v>
      </x:c>
      <x:c r="L282" t="n">
        <x:v>1</x:v>
      </x:c>
      <x:c r="M282" s="22" t="n">
        <x:v>2251.37</x:v>
      </x:c>
      <x:c r="N282" s="24" t="n">
        <x:v>0</x:v>
      </x:c>
      <x:c r="O282" s="22" t="n">
        <x:v>1439.71</x:v>
      </x:c>
      <x:c r="P282" s="22" t="n">
        <x:f>L282*M282*(1-N282)</x:f>
        <x:v>2251.37</x:v>
      </x:c>
      <x:c r="Q282" s="22" t="n">
        <x:f>L282*O282</x:f>
        <x:v>1439.71</x:v>
      </x:c>
      <x:c r="R282" s="22" t="n">
        <x:f>P282-Q282</x:f>
        <x:v>811.6599999999999</x:v>
      </x:c>
      <x:c r="S282" t="str">
        <x:v>Net Banking</x:v>
      </x:c>
      <x:c r="T282" t="str">
        <x:v>Home Office</x:v>
      </x:c>
      <x:c r="U282" t="str">
        <x:v>Retail Store</x:v>
      </x:c>
    </x:row>
    <x:row r="283">
      <x:c r="A283" t="str">
        <x:v>ORD0282</x:v>
      </x:c>
      <x:c r="B283" s="20" t="n">
        <x:v>46016</x:v>
      </x:c>
      <x:c r="C283" t="str">
        <x:v>Divya Rao</x:v>
      </x:c>
      <x:c r="D283" t="str">
        <x:v>Female</x:v>
      </x:c>
      <x:c r="E283" t="str">
        <x:v>18-25</x:v>
      </x:c>
      <x:c r="F283" t="str">
        <x:v>Lucknow</x:v>
      </x:c>
      <x:c r="G283" t="str">
        <x:v>Uttar Pradesh</x:v>
      </x:c>
      <x:c r="H283" t="str">
        <x:v>North</x:v>
      </x:c>
      <x:c r="I283" t="str">
        <x:v>Electronics</x:v>
      </x:c>
      <x:c r="J283" t="str">
        <x:v>Smartwatch</x:v>
      </x:c>
      <x:c r="K283" t="str">
        <x:v>FitTime S2</x:v>
      </x:c>
      <x:c r="L283" t="n">
        <x:v>3</x:v>
      </x:c>
      <x:c r="M283" s="22" t="n">
        <x:v>8206.99</x:v>
      </x:c>
      <x:c r="N283" s="24" t="n">
        <x:v>0.2</x:v>
      </x:c>
      <x:c r="O283" s="22" t="n">
        <x:v>5487.36</x:v>
      </x:c>
      <x:c r="P283" s="22" t="n">
        <x:f>L283*M283*(1-N283)</x:f>
        <x:v>19696.776</x:v>
      </x:c>
      <x:c r="Q283" s="22" t="n">
        <x:f>L283*O283</x:f>
        <x:v>16462.079999999998</x:v>
      </x:c>
      <x:c r="R283" s="22" t="n">
        <x:f>P283-Q283</x:f>
        <x:v>3234.6960000000036</x:v>
      </x:c>
      <x:c r="S283" t="str">
        <x:v>Credit Card</x:v>
      </x:c>
      <x:c r="T283" t="str">
        <x:v>Home Office</x:v>
      </x:c>
      <x:c r="U283" t="str">
        <x:v>Mobile App</x:v>
      </x:c>
    </x:row>
    <x:row r="284">
      <x:c r="A284" t="str">
        <x:v>ORD0283</x:v>
      </x:c>
      <x:c r="B284" s="20" t="n">
        <x:v>45911</x:v>
      </x:c>
      <x:c r="C284" t="str">
        <x:v>Meena Patel</x:v>
      </x:c>
      <x:c r="D284" t="str">
        <x:v>Male</x:v>
      </x:c>
      <x:c r="E284" t="str">
        <x:v>46-60</x:v>
      </x:c>
      <x:c r="F284" t="str">
        <x:v>Hyderabad</x:v>
      </x:c>
      <x:c r="G284" t="str">
        <x:v>Telangana</x:v>
      </x:c>
      <x:c r="H284" t="str">
        <x:v>South</x:v>
      </x:c>
      <x:c r="I284" t="str">
        <x:v>Home &amp; Furniture</x:v>
      </x:c>
      <x:c r="J284" t="str">
        <x:v>Furniture</x:v>
      </x:c>
      <x:c r="K284" t="str">
        <x:v>Office Chair</x:v>
      </x:c>
      <x:c r="L284" t="n">
        <x:v>3</x:v>
      </x:c>
      <x:c r="M284" s="22" t="n">
        <x:v>9362.06</x:v>
      </x:c>
      <x:c r="N284" s="24" t="n">
        <x:v>0.05</x:v>
      </x:c>
      <x:c r="O284" s="22" t="n">
        <x:v>6111.03</x:v>
      </x:c>
      <x:c r="P284" s="22" t="n">
        <x:f>L284*M284*(1-N284)</x:f>
        <x:v>26681.871</x:v>
      </x:c>
      <x:c r="Q284" s="22" t="n">
        <x:f>L284*O284</x:f>
        <x:v>18333.09</x:v>
      </x:c>
      <x:c r="R284" s="22" t="n">
        <x:f>P284-Q284</x:f>
        <x:v>8348.780999999999</x:v>
      </x:c>
      <x:c r="S284" t="str">
        <x:v>Credit Card</x:v>
      </x:c>
      <x:c r="T284" t="str">
        <x:v>Consumer</x:v>
      </x:c>
      <x:c r="U284" t="str">
        <x:v>Mobile App</x:v>
      </x:c>
    </x:row>
    <x:row r="285">
      <x:c r="A285" t="str">
        <x:v>ORD0284</x:v>
      </x:c>
      <x:c r="B285" s="20" t="n">
        <x:v>45885</x:v>
      </x:c>
      <x:c r="C285" t="str">
        <x:v>Aarav Reddy</x:v>
      </x:c>
      <x:c r="D285" t="str">
        <x:v>Male</x:v>
      </x:c>
      <x:c r="E285" t="str">
        <x:v>46-60</x:v>
      </x:c>
      <x:c r="F285" t="str">
        <x:v>Kolkata</x:v>
      </x:c>
      <x:c r="G285" t="str">
        <x:v>West Bengal</x:v>
      </x:c>
      <x:c r="H285" t="str">
        <x:v>East</x:v>
      </x:c>
      <x:c r="I285" t="str">
        <x:v>Beauty</x:v>
      </x:c>
      <x:c r="J285" t="str">
        <x:v>Skincare</x:v>
      </x:c>
      <x:c r="K285" t="str">
        <x:v>Face Serum</x:v>
      </x:c>
      <x:c r="L285" t="n">
        <x:v>1</x:v>
      </x:c>
      <x:c r="M285" s="22" t="n">
        <x:v>1162.76</x:v>
      </x:c>
      <x:c r="N285" s="24" t="n">
        <x:v>0.1</x:v>
      </x:c>
      <x:c r="O285" s="22" t="n">
        <x:v>597.46</x:v>
      </x:c>
      <x:c r="P285" s="22" t="n">
        <x:f>L285*M285*(1-N285)</x:f>
        <x:v>1046.484</x:v>
      </x:c>
      <x:c r="Q285" s="22" t="n">
        <x:f>L285*O285</x:f>
        <x:v>597.46</x:v>
      </x:c>
      <x:c r="R285" s="22" t="n">
        <x:f>P285-Q285</x:f>
        <x:v>449.0239999999999</x:v>
      </x:c>
      <x:c r="S285" t="str">
        <x:v>UPI</x:v>
      </x:c>
      <x:c r="T285" t="str">
        <x:v>Home Office</x:v>
      </x:c>
      <x:c r="U285" t="str">
        <x:v>Retail Store</x:v>
      </x:c>
    </x:row>
    <x:row r="286">
      <x:c r="A286" t="str">
        <x:v>ORD0285</x:v>
      </x:c>
      <x:c r="B286" s="20" t="n">
        <x:v>45658</x:v>
      </x:c>
      <x:c r="C286" t="str">
        <x:v>Vivaan Patel</x:v>
      </x:c>
      <x:c r="D286" t="str">
        <x:v>Male</x:v>
      </x:c>
      <x:c r="E286" t="str">
        <x:v>36-45</x:v>
      </x:c>
      <x:c r="F286" t="str">
        <x:v>Mumbai</x:v>
      </x:c>
      <x:c r="G286" t="str">
        <x:v>Maharashtra</x:v>
      </x:c>
      <x:c r="H286" t="str">
        <x:v>West</x:v>
      </x:c>
      <x:c r="I286" t="str">
        <x:v>Electronics</x:v>
      </x:c>
      <x:c r="J286" t="str">
        <x:v>Headphones</x:v>
      </x:c>
      <x:c r="K286" t="str">
        <x:v>SoundMax Pro</x:v>
      </x:c>
      <x:c r="L286" t="n">
        <x:v>4</x:v>
      </x:c>
      <x:c r="M286" s="22" t="n">
        <x:v>4780.88</x:v>
      </x:c>
      <x:c r="N286" s="24" t="n">
        <x:v>0.05</x:v>
      </x:c>
      <x:c r="O286" s="22" t="n">
        <x:v>3014.96</x:v>
      </x:c>
      <x:c r="P286" s="22" t="n">
        <x:f>L286*M286*(1-N286)</x:f>
        <x:v>18167.344</x:v>
      </x:c>
      <x:c r="Q286" s="22" t="n">
        <x:f>L286*O286</x:f>
        <x:v>12059.84</x:v>
      </x:c>
      <x:c r="R286" s="22" t="n">
        <x:f>P286-Q286</x:f>
        <x:v>6107.504000000001</x:v>
      </x:c>
      <x:c r="S286" t="str">
        <x:v>Net Banking</x:v>
      </x:c>
      <x:c r="T286" t="str">
        <x:v>Home Office</x:v>
      </x:c>
      <x:c r="U286" t="str">
        <x:v>Retail Store</x:v>
      </x:c>
    </x:row>
    <x:row r="287">
      <x:c r="A287" t="str">
        <x:v>ORD0286</x:v>
      </x:c>
      <x:c r="B287" s="20" t="n">
        <x:v>45900</x:v>
      </x:c>
      <x:c r="C287" t="str">
        <x:v>Kavya Kumar</x:v>
      </x:c>
      <x:c r="D287" t="str">
        <x:v>Male</x:v>
      </x:c>
      <x:c r="E287" t="str">
        <x:v>18-25</x:v>
      </x:c>
      <x:c r="F287" t="str">
        <x:v>Mumbai</x:v>
      </x:c>
      <x:c r="G287" t="str">
        <x:v>Maharashtra</x:v>
      </x:c>
      <x:c r="H287" t="str">
        <x:v>West</x:v>
      </x:c>
      <x:c r="I287" t="str">
        <x:v>Fashion</x:v>
      </x:c>
      <x:c r="J287" t="str">
        <x:v>Accessories</x:v>
      </x:c>
      <x:c r="K287" t="str">
        <x:v>Backpack</x:v>
      </x:c>
      <x:c r="L287" t="n">
        <x:v>2</x:v>
      </x:c>
      <x:c r="M287" s="22" t="n">
        <x:v>2064.14</x:v>
      </x:c>
      <x:c r="N287" s="24" t="n">
        <x:v>0</x:v>
      </x:c>
      <x:c r="O287" s="22" t="n">
        <x:v>1326.97</x:v>
      </x:c>
      <x:c r="P287" s="22" t="n">
        <x:f>L287*M287*(1-N287)</x:f>
        <x:v>4128.28</x:v>
      </x:c>
      <x:c r="Q287" s="22" t="n">
        <x:f>L287*O287</x:f>
        <x:v>2653.94</x:v>
      </x:c>
      <x:c r="R287" s="22" t="n">
        <x:f>P287-Q287</x:f>
        <x:v>1474.3399999999997</x:v>
      </x:c>
      <x:c r="S287" t="str">
        <x:v>UPI</x:v>
      </x:c>
      <x:c r="T287" t="str">
        <x:v>Consumer</x:v>
      </x:c>
      <x:c r="U287" t="str">
        <x:v>Mobile App</x:v>
      </x:c>
    </x:row>
    <x:row r="288">
      <x:c r="A288" t="str">
        <x:v>ORD0287</x:v>
      </x:c>
      <x:c r="B288" s="20" t="n">
        <x:v>45729</x:v>
      </x:c>
      <x:c r="C288" t="str">
        <x:v>Pooja Patel</x:v>
      </x:c>
      <x:c r="D288" t="str">
        <x:v>Male</x:v>
      </x:c>
      <x:c r="E288" t="str">
        <x:v>18-25</x:v>
      </x:c>
      <x:c r="F288" t="str">
        <x:v>Bengaluru</x:v>
      </x:c>
      <x:c r="G288" t="str">
        <x:v>Karnataka</x:v>
      </x:c>
      <x:c r="H288" t="str">
        <x:v>South</x:v>
      </x:c>
      <x:c r="I288" t="str">
        <x:v>Beauty</x:v>
      </x:c>
      <x:c r="J288" t="str">
        <x:v>Skincare</x:v>
      </x:c>
      <x:c r="K288" t="str">
        <x:v>Face Serum</x:v>
      </x:c>
      <x:c r="L288" t="n">
        <x:v>1</x:v>
      </x:c>
      <x:c r="M288" s="22" t="n">
        <x:v>1056.75</x:v>
      </x:c>
      <x:c r="N288" s="24" t="n">
        <x:v>0.1</x:v>
      </x:c>
      <x:c r="O288" s="22" t="n">
        <x:v>585.4</x:v>
      </x:c>
      <x:c r="P288" s="22" t="n">
        <x:f>L288*M288*(1-N288)</x:f>
        <x:v>951.075</x:v>
      </x:c>
      <x:c r="Q288" s="22" t="n">
        <x:f>L288*O288</x:f>
        <x:v>585.4</x:v>
      </x:c>
      <x:c r="R288" s="22" t="n">
        <x:f>P288-Q288</x:f>
        <x:v>365.67500000000007</x:v>
      </x:c>
      <x:c r="S288" t="str">
        <x:v>Cash on Delivery</x:v>
      </x:c>
      <x:c r="T288" t="str">
        <x:v>Consumer</x:v>
      </x:c>
      <x:c r="U288" t="str">
        <x:v>Retail Store</x:v>
      </x:c>
    </x:row>
    <x:row r="289">
      <x:c r="A289" t="str">
        <x:v>ORD0288</x:v>
      </x:c>
      <x:c r="B289" s="20" t="n">
        <x:v>46002</x:v>
      </x:c>
      <x:c r="C289" t="str">
        <x:v>Aarav Gupta</x:v>
      </x:c>
      <x:c r="D289" t="str">
        <x:v>Female</x:v>
      </x:c>
      <x:c r="E289" t="str">
        <x:v>46-60</x:v>
      </x:c>
      <x:c r="F289" t="str">
        <x:v>Ahmedabad</x:v>
      </x:c>
      <x:c r="G289" t="str">
        <x:v>Gujarat</x:v>
      </x:c>
      <x:c r="H289" t="str">
        <x:v>West</x:v>
      </x:c>
      <x:c r="I289" t="str">
        <x:v>Electronics</x:v>
      </x:c>
      <x:c r="J289" t="str">
        <x:v>Smartwatch</x:v>
      </x:c>
      <x:c r="K289" t="str">
        <x:v>FitTime S2</x:v>
      </x:c>
      <x:c r="L289" t="n">
        <x:v>5</x:v>
      </x:c>
      <x:c r="M289" s="22" t="n">
        <x:v>7945.46</x:v>
      </x:c>
      <x:c r="N289" s="24" t="n">
        <x:v>0</x:v>
      </x:c>
      <x:c r="O289" s="22" t="n">
        <x:v>5640.01</x:v>
      </x:c>
      <x:c r="P289" s="22" t="n">
        <x:f>L289*M289*(1-N289)</x:f>
        <x:v>39727.3</x:v>
      </x:c>
      <x:c r="Q289" s="22" t="n">
        <x:f>L289*O289</x:f>
        <x:v>28200.050000000003</x:v>
      </x:c>
      <x:c r="R289" s="22" t="n">
        <x:f>P289-Q289</x:f>
        <x:v>11527.25</x:v>
      </x:c>
      <x:c r="S289" t="str">
        <x:v>Net Banking</x:v>
      </x:c>
      <x:c r="T289" t="str">
        <x:v>Corporate</x:v>
      </x:c>
      <x:c r="U289" t="str">
        <x:v>Retail Store</x:v>
      </x:c>
    </x:row>
    <x:row r="290">
      <x:c r="A290" t="str">
        <x:v>ORD0289</x:v>
      </x:c>
      <x:c r="B290" s="20" t="n">
        <x:v>45748</x:v>
      </x:c>
      <x:c r="C290" t="str">
        <x:v>Divya Naidu</x:v>
      </x:c>
      <x:c r="D290" t="str">
        <x:v>Female</x:v>
      </x:c>
      <x:c r="E290" t="str">
        <x:v>36-45</x:v>
      </x:c>
      <x:c r="F290" t="str">
        <x:v>Delhi</x:v>
      </x:c>
      <x:c r="G290" t="str">
        <x:v>Delhi</x:v>
      </x:c>
      <x:c r="H290" t="str">
        <x:v>North</x:v>
      </x:c>
      <x:c r="I290" t="str">
        <x:v>Home &amp; Furniture</x:v>
      </x:c>
      <x:c r="J290" t="str">
        <x:v>Furniture</x:v>
      </x:c>
      <x:c r="K290" t="str">
        <x:v>Study Table</x:v>
      </x:c>
      <x:c r="L290" t="n">
        <x:v>5</x:v>
      </x:c>
      <x:c r="M290" s="22" t="n">
        <x:v>11707.11</x:v>
      </x:c>
      <x:c r="N290" s="24" t="n">
        <x:v>0.05</x:v>
      </x:c>
      <x:c r="O290" s="22" t="n">
        <x:v>8910.9</x:v>
      </x:c>
      <x:c r="P290" s="22" t="n">
        <x:f>L290*M290*(1-N290)</x:f>
        <x:v>55608.7725</x:v>
      </x:c>
      <x:c r="Q290" s="22" t="n">
        <x:f>L290*O290</x:f>
        <x:v>44554.5</x:v>
      </x:c>
      <x:c r="R290" s="22" t="n">
        <x:f>P290-Q290</x:f>
        <x:v>11054.2725</x:v>
      </x:c>
      <x:c r="S290" t="str">
        <x:v>Cash on Delivery</x:v>
      </x:c>
      <x:c r="T290" t="str">
        <x:v>Corporate</x:v>
      </x:c>
      <x:c r="U290" t="str">
        <x:v>Mobile App</x:v>
      </x:c>
    </x:row>
    <x:row r="291">
      <x:c r="A291" t="str">
        <x:v>ORD0290</x:v>
      </x:c>
      <x:c r="B291" s="20" t="n">
        <x:v>45889</x:v>
      </x:c>
      <x:c r="C291" t="str">
        <x:v>Ravi Singh</x:v>
      </x:c>
      <x:c r="D291" t="str">
        <x:v>Female</x:v>
      </x:c>
      <x:c r="E291" t="str">
        <x:v>26-35</x:v>
      </x:c>
      <x:c r="F291" t="str">
        <x:v>Kolkata</x:v>
      </x:c>
      <x:c r="G291" t="str">
        <x:v>West Bengal</x:v>
      </x:c>
      <x:c r="H291" t="str">
        <x:v>East</x:v>
      </x:c>
      <x:c r="I291" t="str">
        <x:v>Home &amp; Furniture</x:v>
      </x:c>
      <x:c r="J291" t="str">
        <x:v>Furniture</x:v>
      </x:c>
      <x:c r="K291" t="str">
        <x:v>Study Table</x:v>
      </x:c>
      <x:c r="L291" t="n">
        <x:v>5</x:v>
      </x:c>
      <x:c r="M291" s="22" t="n">
        <x:v>12325.49</x:v>
      </x:c>
      <x:c r="N291" s="24" t="n">
        <x:v>0.05</x:v>
      </x:c>
      <x:c r="O291" s="22" t="n">
        <x:v>8940.81</x:v>
      </x:c>
      <x:c r="P291" s="22" t="n">
        <x:f>L291*M291*(1-N291)</x:f>
        <x:v>58546.07749999999</x:v>
      </x:c>
      <x:c r="Q291" s="22" t="n">
        <x:f>L291*O291</x:f>
        <x:v>44704.049999999996</x:v>
      </x:c>
      <x:c r="R291" s="22" t="n">
        <x:f>P291-Q291</x:f>
        <x:v>13842.027499999997</x:v>
      </x:c>
      <x:c r="S291" t="str">
        <x:v>Credit Card</x:v>
      </x:c>
      <x:c r="T291" t="str">
        <x:v>Home Office</x:v>
      </x:c>
      <x:c r="U291" t="str">
        <x:v>Retail Store</x:v>
      </x:c>
    </x:row>
    <x:row r="292">
      <x:c r="A292" t="str">
        <x:v>ORD0291</x:v>
      </x:c>
      <x:c r="B292" s="20" t="n">
        <x:v>45806</x:v>
      </x:c>
      <x:c r="C292" t="str">
        <x:v>Priya Reddy</x:v>
      </x:c>
      <x:c r="D292" t="str">
        <x:v>Male</x:v>
      </x:c>
      <x:c r="E292" t="str">
        <x:v>46-60</x:v>
      </x:c>
      <x:c r="F292" t="str">
        <x:v>Delhi</x:v>
      </x:c>
      <x:c r="G292" t="str">
        <x:v>Delhi</x:v>
      </x:c>
      <x:c r="H292" t="str">
        <x:v>North</x:v>
      </x:c>
      <x:c r="I292" t="str">
        <x:v>Fashion</x:v>
      </x:c>
      <x:c r="J292" t="str">
        <x:v>Women</x:v>
      </x:c>
      <x:c r="K292" t="str">
        <x:v>Kurti</x:v>
      </x:c>
      <x:c r="L292" t="n">
        <x:v>2</x:v>
      </x:c>
      <x:c r="M292" s="22" t="n">
        <x:v>1938.62</x:v>
      </x:c>
      <x:c r="N292" s="24" t="n">
        <x:v>0.15</x:v>
      </x:c>
      <x:c r="O292" s="22" t="n">
        <x:v>1012.01</x:v>
      </x:c>
      <x:c r="P292" s="22" t="n">
        <x:f>L292*M292*(1-N292)</x:f>
        <x:v>3295.6539999999995</x:v>
      </x:c>
      <x:c r="Q292" s="22" t="n">
        <x:f>L292*O292</x:f>
        <x:v>2024.02</x:v>
      </x:c>
      <x:c r="R292" s="22" t="n">
        <x:f>P292-Q292</x:f>
        <x:v>1271.6339999999996</x:v>
      </x:c>
      <x:c r="S292" t="str">
        <x:v>Net Banking</x:v>
      </x:c>
      <x:c r="T292" t="str">
        <x:v>Home Office</x:v>
      </x:c>
      <x:c r="U292" t="str">
        <x:v>Retail Store</x:v>
      </x:c>
    </x:row>
    <x:row r="293">
      <x:c r="A293" t="str">
        <x:v>ORD0292</x:v>
      </x:c>
      <x:c r="B293" s="20" t="n">
        <x:v>46021</x:v>
      </x:c>
      <x:c r="C293" t="str">
        <x:v>Aarav Gupta</x:v>
      </x:c>
      <x:c r="D293" t="str">
        <x:v>Female</x:v>
      </x:c>
      <x:c r="E293" t="str">
        <x:v>18-25</x:v>
      </x:c>
      <x:c r="F293" t="str">
        <x:v>Bhubaneswar</x:v>
      </x:c>
      <x:c r="G293" t="str">
        <x:v>Odisha</x:v>
      </x:c>
      <x:c r="H293" t="str">
        <x:v>East</x:v>
      </x:c>
      <x:c r="I293" t="str">
        <x:v>Beauty</x:v>
      </x:c>
      <x:c r="J293" t="str">
        <x:v>Makeup</x:v>
      </x:c>
      <x:c r="K293" t="str">
        <x:v>Makeup Kit</x:v>
      </x:c>
      <x:c r="L293" t="n">
        <x:v>3</x:v>
      </x:c>
      <x:c r="M293" s="22" t="n">
        <x:v>3118.98</x:v>
      </x:c>
      <x:c r="N293" s="24" t="n">
        <x:v>0.1</x:v>
      </x:c>
      <x:c r="O293" s="22" t="n">
        <x:v>1797.79</x:v>
      </x:c>
      <x:c r="P293" s="22" t="n">
        <x:f>L293*M293*(1-N293)</x:f>
        <x:v>8421.246000000001</x:v>
      </x:c>
      <x:c r="Q293" s="22" t="n">
        <x:f>L293*O293</x:f>
        <x:v>5393.37</x:v>
      </x:c>
      <x:c r="R293" s="22" t="n">
        <x:f>P293-Q293</x:f>
        <x:v>3027.876000000001</x:v>
      </x:c>
      <x:c r="S293" t="str">
        <x:v>Cash on Delivery</x:v>
      </x:c>
      <x:c r="T293" t="str">
        <x:v>Consumer</x:v>
      </x:c>
      <x:c r="U293" t="str">
        <x:v>Online</x:v>
      </x:c>
    </x:row>
    <x:row r="294">
      <x:c r="A294" t="str">
        <x:v>ORD0293</x:v>
      </x:c>
      <x:c r="B294" s="20" t="n">
        <x:v>46001</x:v>
      </x:c>
      <x:c r="C294" t="str">
        <x:v>Sai Sharma</x:v>
      </x:c>
      <x:c r="D294" t="str">
        <x:v>Male</x:v>
      </x:c>
      <x:c r="E294" t="str">
        <x:v>26-35</x:v>
      </x:c>
      <x:c r="F294" t="str">
        <x:v>Chennai</x:v>
      </x:c>
      <x:c r="G294" t="str">
        <x:v>Tamil Nadu</x:v>
      </x:c>
      <x:c r="H294" t="str">
        <x:v>South</x:v>
      </x:c>
      <x:c r="I294" t="str">
        <x:v>Electronics</x:v>
      </x:c>
      <x:c r="J294" t="str">
        <x:v>Smartphone</x:v>
      </x:c>
      <x:c r="K294" t="str">
        <x:v>Nova X</x:v>
      </x:c>
      <x:c r="L294" t="n">
        <x:v>3</x:v>
      </x:c>
      <x:c r="M294" s="22" t="n">
        <x:v>30806.93</x:v>
      </x:c>
      <x:c r="N294" s="24" t="n">
        <x:v>0.2</x:v>
      </x:c>
      <x:c r="O294" s="22" t="n">
        <x:v>25059.64</x:v>
      </x:c>
      <x:c r="P294" s="22" t="n">
        <x:f>L294*M294*(1-N294)</x:f>
        <x:v>73936.63200000001</x:v>
      </x:c>
      <x:c r="Q294" s="22" t="n">
        <x:f>L294*O294</x:f>
        <x:v>75178.92</x:v>
      </x:c>
      <x:c r="R294" s="22" t="n">
        <x:f>P294-Q294</x:f>
        <x:v>-1242.287999999986</x:v>
      </x:c>
      <x:c r="S294" t="str">
        <x:v>Net Banking</x:v>
      </x:c>
      <x:c r="T294" t="str">
        <x:v>Consumer</x:v>
      </x:c>
      <x:c r="U294" t="str">
        <x:v>Mobile App</x:v>
      </x:c>
    </x:row>
    <x:row r="295">
      <x:c r="A295" t="str">
        <x:v>ORD0294</x:v>
      </x:c>
      <x:c r="B295" s="20" t="n">
        <x:v>45889</x:v>
      </x:c>
      <x:c r="C295" t="str">
        <x:v>Ananya Sharma</x:v>
      </x:c>
      <x:c r="D295" t="str">
        <x:v>Male</x:v>
      </x:c>
      <x:c r="E295" t="str">
        <x:v>46-60</x:v>
      </x:c>
      <x:c r="F295" t="str">
        <x:v>Bhubaneswar</x:v>
      </x:c>
      <x:c r="G295" t="str">
        <x:v>Odisha</x:v>
      </x:c>
      <x:c r="H295" t="str">
        <x:v>East</x:v>
      </x:c>
      <x:c r="I295" t="str">
        <x:v>Electronics</x:v>
      </x:c>
      <x:c r="J295" t="str">
        <x:v>Smartphone</x:v>
      </x:c>
      <x:c r="K295" t="str">
        <x:v>Nova X</x:v>
      </x:c>
      <x:c r="L295" t="n">
        <x:v>2</x:v>
      </x:c>
      <x:c r="M295" s="22" t="n">
        <x:v>33241.15</x:v>
      </x:c>
      <x:c r="N295" s="24" t="n">
        <x:v>0.15</x:v>
      </x:c>
      <x:c r="O295" s="22" t="n">
        <x:v>24620.09</x:v>
      </x:c>
      <x:c r="P295" s="22" t="n">
        <x:f>L295*M295*(1-N295)</x:f>
        <x:v>56509.955</x:v>
      </x:c>
      <x:c r="Q295" s="22" t="n">
        <x:f>L295*O295</x:f>
        <x:v>49240.18</x:v>
      </x:c>
      <x:c r="R295" s="22" t="n">
        <x:f>P295-Q295</x:f>
        <x:v>7269.7750000000015</x:v>
      </x:c>
      <x:c r="S295" t="str">
        <x:v>Cash on Delivery</x:v>
      </x:c>
      <x:c r="T295" t="str">
        <x:v>Home Office</x:v>
      </x:c>
      <x:c r="U295" t="str">
        <x:v>Mobile App</x:v>
      </x:c>
    </x:row>
    <x:row r="296">
      <x:c r="A296" t="str">
        <x:v>ORD0295</x:v>
      </x:c>
      <x:c r="B296" s="20" t="n">
        <x:v>45940</x:v>
      </x:c>
      <x:c r="C296" t="str">
        <x:v>Kavya Das</x:v>
      </x:c>
      <x:c r="D296" t="str">
        <x:v>Female</x:v>
      </x:c>
      <x:c r="E296" t="str">
        <x:v>26-35</x:v>
      </x:c>
      <x:c r="F296" t="str">
        <x:v>Lucknow</x:v>
      </x:c>
      <x:c r="G296" t="str">
        <x:v>Uttar Pradesh</x:v>
      </x:c>
      <x:c r="H296" t="str">
        <x:v>North</x:v>
      </x:c>
      <x:c r="I296" t="str">
        <x:v>Electronics</x:v>
      </x:c>
      <x:c r="J296" t="str">
        <x:v>Laptop</x:v>
      </x:c>
      <x:c r="K296" t="str">
        <x:v>AeroBook 14</x:v>
      </x:c>
      <x:c r="L296" t="n">
        <x:v>4</x:v>
      </x:c>
      <x:c r="M296" s="22" t="n">
        <x:v>64417.21</x:v>
      </x:c>
      <x:c r="N296" s="24" t="n">
        <x:v>0</x:v>
      </x:c>
      <x:c r="O296" s="22" t="n">
        <x:v>48812.35</x:v>
      </x:c>
      <x:c r="P296" s="22" t="n">
        <x:f>L296*M296*(1-N296)</x:f>
        <x:v>257668.84</x:v>
      </x:c>
      <x:c r="Q296" s="22" t="n">
        <x:f>L296*O296</x:f>
        <x:v>195249.4</x:v>
      </x:c>
      <x:c r="R296" s="22" t="n">
        <x:f>P296-Q296</x:f>
        <x:v>62419.44</x:v>
      </x:c>
      <x:c r="S296" t="str">
        <x:v>Debit Card</x:v>
      </x:c>
      <x:c r="T296" t="str">
        <x:v>Corporate</x:v>
      </x:c>
      <x:c r="U296" t="str">
        <x:v>Online</x:v>
      </x:c>
    </x:row>
    <x:row r="297">
      <x:c r="A297" t="str">
        <x:v>ORD0296</x:v>
      </x:c>
      <x:c r="B297" s="20" t="n">
        <x:v>46007</x:v>
      </x:c>
      <x:c r="C297" t="str">
        <x:v>Sree Kumar</x:v>
      </x:c>
      <x:c r="D297" t="str">
        <x:v>Male</x:v>
      </x:c>
      <x:c r="E297" t="str">
        <x:v>26-35</x:v>
      </x:c>
      <x:c r="F297" t="str">
        <x:v>Hyderabad</x:v>
      </x:c>
      <x:c r="G297" t="str">
        <x:v>Telangana</x:v>
      </x:c>
      <x:c r="H297" t="str">
        <x:v>South</x:v>
      </x:c>
      <x:c r="I297" t="str">
        <x:v>Electronics</x:v>
      </x:c>
      <x:c r="J297" t="str">
        <x:v>Smartphone</x:v>
      </x:c>
      <x:c r="K297" t="str">
        <x:v>Nova X</x:v>
      </x:c>
      <x:c r="L297" t="n">
        <x:v>1</x:v>
      </x:c>
      <x:c r="M297" s="22" t="n">
        <x:v>34367.87</x:v>
      </x:c>
      <x:c r="N297" s="24" t="n">
        <x:v>0.1</x:v>
      </x:c>
      <x:c r="O297" s="22" t="n">
        <x:v>24960.76</x:v>
      </x:c>
      <x:c r="P297" s="22" t="n">
        <x:f>L297*M297*(1-N297)</x:f>
        <x:v>30931.083000000002</x:v>
      </x:c>
      <x:c r="Q297" s="22" t="n">
        <x:f>L297*O297</x:f>
        <x:v>24960.76</x:v>
      </x:c>
      <x:c r="R297" s="22" t="n">
        <x:f>P297-Q297</x:f>
        <x:v>5970.323000000004</x:v>
      </x:c>
      <x:c r="S297" t="str">
        <x:v>Credit Card</x:v>
      </x:c>
      <x:c r="T297" t="str">
        <x:v>Home Office</x:v>
      </x:c>
      <x:c r="U297" t="str">
        <x:v>Mobile App</x:v>
      </x:c>
    </x:row>
    <x:row r="298">
      <x:c r="A298" t="str">
        <x:v>ORD0297</x:v>
      </x:c>
      <x:c r="B298" s="20" t="n">
        <x:v>45660</x:v>
      </x:c>
      <x:c r="C298" t="str">
        <x:v>Vivaan Das</x:v>
      </x:c>
      <x:c r="D298" t="str">
        <x:v>Male</x:v>
      </x:c>
      <x:c r="E298" t="str">
        <x:v>46-60</x:v>
      </x:c>
      <x:c r="F298" t="str">
        <x:v>Jaipur</x:v>
      </x:c>
      <x:c r="G298" t="str">
        <x:v>Rajasthan</x:v>
      </x:c>
      <x:c r="H298" t="str">
        <x:v>North</x:v>
      </x:c>
      <x:c r="I298" t="str">
        <x:v>Fashion</x:v>
      </x:c>
      <x:c r="J298" t="str">
        <x:v>Accessories</x:v>
      </x:c>
      <x:c r="K298" t="str">
        <x:v>Backpack</x:v>
      </x:c>
      <x:c r="L298" t="n">
        <x:v>2</x:v>
      </x:c>
      <x:c r="M298" s="22" t="n">
        <x:v>2273.81</x:v>
      </x:c>
      <x:c r="N298" s="24" t="n">
        <x:v>0.05</x:v>
      </x:c>
      <x:c r="O298" s="22" t="n">
        <x:v>1264.1</x:v>
      </x:c>
      <x:c r="P298" s="22" t="n">
        <x:f>L298*M298*(1-N298)</x:f>
        <x:v>4320.239</x:v>
      </x:c>
      <x:c r="Q298" s="22" t="n">
        <x:f>L298*O298</x:f>
        <x:v>2528.2</x:v>
      </x:c>
      <x:c r="R298" s="22" t="n">
        <x:f>P298-Q298</x:f>
        <x:v>1792.0389999999998</x:v>
      </x:c>
      <x:c r="S298" t="str">
        <x:v>Net Banking</x:v>
      </x:c>
      <x:c r="T298" t="str">
        <x:v>Home Office</x:v>
      </x:c>
      <x:c r="U298" t="str">
        <x:v>Mobile App</x:v>
      </x:c>
    </x:row>
    <x:row r="299">
      <x:c r="A299" t="str">
        <x:v>ORD0298</x:v>
      </x:c>
      <x:c r="B299" s="20" t="n">
        <x:v>45695</x:v>
      </x:c>
      <x:c r="C299" t="str">
        <x:v>Ravi Gupta</x:v>
      </x:c>
      <x:c r="D299" t="str">
        <x:v>Male</x:v>
      </x:c>
      <x:c r="E299" t="str">
        <x:v>18-25</x:v>
      </x:c>
      <x:c r="F299" t="str">
        <x:v>Pune</x:v>
      </x:c>
      <x:c r="G299" t="str">
        <x:v>Maharashtra</x:v>
      </x:c>
      <x:c r="H299" t="str">
        <x:v>West</x:v>
      </x:c>
      <x:c r="I299" t="str">
        <x:v>Fashion</x:v>
      </x:c>
      <x:c r="J299" t="str">
        <x:v>Women</x:v>
      </x:c>
      <x:c r="K299" t="str">
        <x:v>Kurti</x:v>
      </x:c>
      <x:c r="L299" t="n">
        <x:v>5</x:v>
      </x:c>
      <x:c r="M299" s="22" t="n">
        <x:v>1931.61</x:v>
      </x:c>
      <x:c r="N299" s="24" t="n">
        <x:v>0</x:v>
      </x:c>
      <x:c r="O299" s="22" t="n">
        <x:v>1001.65</x:v>
      </x:c>
      <x:c r="P299" s="22" t="n">
        <x:f>L299*M299*(1-N299)</x:f>
        <x:v>9658.05</x:v>
      </x:c>
      <x:c r="Q299" s="22" t="n">
        <x:f>L299*O299</x:f>
        <x:v>5008.25</x:v>
      </x:c>
      <x:c r="R299" s="22" t="n">
        <x:f>P299-Q299</x:f>
        <x:v>4649.799999999999</x:v>
      </x:c>
      <x:c r="S299" t="str">
        <x:v>Debit Card</x:v>
      </x:c>
      <x:c r="T299" t="str">
        <x:v>Consumer</x:v>
      </x:c>
      <x:c r="U299" t="str">
        <x:v>Online</x:v>
      </x:c>
    </x:row>
    <x:row r="300">
      <x:c r="A300" t="str">
        <x:v>ORD0299</x:v>
      </x:c>
      <x:c r="B300" s="20" t="n">
        <x:v>45997</x:v>
      </x:c>
      <x:c r="C300" t="str">
        <x:v>Ravi Sharma</x:v>
      </x:c>
      <x:c r="D300" t="str">
        <x:v>Female</x:v>
      </x:c>
      <x:c r="E300" t="str">
        <x:v>36-45</x:v>
      </x:c>
      <x:c r="F300" t="str">
        <x:v>Ahmedabad</x:v>
      </x:c>
      <x:c r="G300" t="str">
        <x:v>Gujarat</x:v>
      </x:c>
      <x:c r="H300" t="str">
        <x:v>West</x:v>
      </x:c>
      <x:c r="I300" t="str">
        <x:v>Fashion</x:v>
      </x:c>
      <x:c r="J300" t="str">
        <x:v>Footwear</x:v>
      </x:c>
      <x:c r="K300" t="str">
        <x:v>Running Shoes</x:v>
      </x:c>
      <x:c r="L300" t="n">
        <x:v>5</x:v>
      </x:c>
      <x:c r="M300" s="22" t="n">
        <x:v>3422.05</x:v>
      </x:c>
      <x:c r="N300" s="24" t="n">
        <x:v>0.15</x:v>
      </x:c>
      <x:c r="O300" s="22" t="n">
        <x:v>2150.45</x:v>
      </x:c>
      <x:c r="P300" s="22" t="n">
        <x:f>L300*M300*(1-N300)</x:f>
        <x:v>14543.7125</x:v>
      </x:c>
      <x:c r="Q300" s="22" t="n">
        <x:f>L300*O300</x:f>
        <x:v>10752.25</x:v>
      </x:c>
      <x:c r="R300" s="22" t="n">
        <x:f>P300-Q300</x:f>
        <x:v>3791.4624999999996</x:v>
      </x:c>
      <x:c r="S300" t="str">
        <x:v>Cash on Delivery</x:v>
      </x:c>
      <x:c r="T300" t="str">
        <x:v>Consumer</x:v>
      </x:c>
      <x:c r="U300" t="str">
        <x:v>Retail Store</x:v>
      </x:c>
    </x:row>
    <x:row r="301">
      <x:c r="A301" t="str">
        <x:v>ORD0300</x:v>
      </x:c>
      <x:c r="B301" s="20" t="n">
        <x:v>45972</x:v>
      </x:c>
      <x:c r="C301" t="str">
        <x:v>Ravi Kumar</x:v>
      </x:c>
      <x:c r="D301" t="str">
        <x:v>Female</x:v>
      </x:c>
      <x:c r="E301" t="str">
        <x:v>36-45</x:v>
      </x:c>
      <x:c r="F301" t="str">
        <x:v>Chennai</x:v>
      </x:c>
      <x:c r="G301" t="str">
        <x:v>Tamil Nadu</x:v>
      </x:c>
      <x:c r="H301" t="str">
        <x:v>South</x:v>
      </x:c>
      <x:c r="I301" t="str">
        <x:v>Home &amp; Furniture</x:v>
      </x:c>
      <x:c r="J301" t="str">
        <x:v>Furniture</x:v>
      </x:c>
      <x:c r="K301" t="str">
        <x:v>Office Chair</x:v>
      </x:c>
      <x:c r="L301" t="n">
        <x:v>1</x:v>
      </x:c>
      <x:c r="M301" s="22" t="n">
        <x:v>9262.87</x:v>
      </x:c>
      <x:c r="N301" s="24" t="n">
        <x:v>0.1</x:v>
      </x:c>
      <x:c r="O301" s="22" t="n">
        <x:v>6111.18</x:v>
      </x:c>
      <x:c r="P301" s="22" t="n">
        <x:f>L301*M301*(1-N301)</x:f>
        <x:v>8336.583</x:v>
      </x:c>
      <x:c r="Q301" s="22" t="n">
        <x:f>L301*O301</x:f>
        <x:v>6111.18</x:v>
      </x:c>
      <x:c r="R301" s="22" t="n">
        <x:f>P301-Q301</x:f>
        <x:v>2225.4030000000002</x:v>
      </x:c>
      <x:c r="S301" t="str">
        <x:v>Net Banking</x:v>
      </x:c>
      <x:c r="T301" t="str">
        <x:v>Home Office</x:v>
      </x:c>
      <x:c r="U301" t="str">
        <x:v>Mobile App</x:v>
      </x:c>
    </x:row>
  </x:sheetData>
  <x:pageMargins left="0.7" right="0.7" top="0.75" bottom="0.75" header="0.3" footer="0.3"/>
  <x:tableParts count="1">
    <x:tablePart xmlns:r="http://schemas.openxmlformats.org/officeDocument/2006/relationships" r:id="Rebc55d6646e446c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.25" hidden="0" customWidth="1"/>
    <x:col min="2" max="2" width="46" hidden="0" customWidth="1"/>
    <x:col min="3" max="3" width="24" hidden="0" customWidth="1"/>
  </x:cols>
  <x:sheetData>
    <x:row r="1">
      <x:c r="A1" s="15" t="str">
        <x:v>Column</x:v>
      </x:c>
      <x:c r="B1" s="15" t="str">
        <x:v>Meaning</x:v>
      </x:c>
      <x:c r="C1" s="15" t="str">
        <x:v>Power BI Data Type</x:v>
      </x:c>
    </x:row>
    <x:row r="2">
      <x:c r="A2" s="12" t="str">
        <x:v>Order_ID</x:v>
      </x:c>
      <x:c r="B2" s="12" t="str">
        <x:v>Unique order identifier</x:v>
      </x:c>
      <x:c r="C2" s="12" t="str">
        <x:v>Text</x:v>
      </x:c>
    </x:row>
    <x:row r="3">
      <x:c r="A3" s="12" t="str">
        <x:v>Order_Date</x:v>
      </x:c>
      <x:c r="B3" s="12" t="str">
        <x:v>Date the order was placed</x:v>
      </x:c>
      <x:c r="C3" s="12" t="str">
        <x:v>Date</x:v>
      </x:c>
    </x:row>
    <x:row r="4">
      <x:c r="A4" s="12" t="str">
        <x:v>Customer_Name</x:v>
      </x:c>
      <x:c r="B4" s="12" t="str">
        <x:v>Synthetic customer name</x:v>
      </x:c>
      <x:c r="C4" s="12" t="str">
        <x:v>Text</x:v>
      </x:c>
    </x:row>
    <x:row r="5">
      <x:c r="A5" s="12" t="str">
        <x:v>Gender</x:v>
      </x:c>
      <x:c r="B5" s="12" t="str">
        <x:v>Customer gender</x:v>
      </x:c>
      <x:c r="C5" s="12" t="str">
        <x:v>Text</x:v>
      </x:c>
    </x:row>
    <x:row r="6">
      <x:c r="A6" s="12" t="str">
        <x:v>Age_Group</x:v>
      </x:c>
      <x:c r="B6" s="12" t="str">
        <x:v>Customer age band</x:v>
      </x:c>
      <x:c r="C6" s="12" t="str">
        <x:v>Text</x:v>
      </x:c>
    </x:row>
    <x:row r="7">
      <x:c r="A7" s="12" t="str">
        <x:v>City</x:v>
      </x:c>
      <x:c r="B7" s="12" t="str">
        <x:v>Customer city</x:v>
      </x:c>
      <x:c r="C7" s="12" t="str">
        <x:v>Text</x:v>
      </x:c>
    </x:row>
    <x:row r="8">
      <x:c r="A8" s="12" t="str">
        <x:v>State</x:v>
      </x:c>
      <x:c r="B8" s="12" t="str">
        <x:v>Customer state</x:v>
      </x:c>
      <x:c r="C8" s="12" t="str">
        <x:v>Text</x:v>
      </x:c>
    </x:row>
    <x:row r="9">
      <x:c r="A9" s="12" t="str">
        <x:v>Region</x:v>
      </x:c>
      <x:c r="B9" s="12" t="str">
        <x:v>North/South/East/West</x:v>
      </x:c>
      <x:c r="C9" s="12" t="str">
        <x:v>Text</x:v>
      </x:c>
    </x:row>
    <x:row r="10">
      <x:c r="A10" s="12" t="str">
        <x:v>Category</x:v>
      </x:c>
      <x:c r="B10" s="12" t="str">
        <x:v>Main product category</x:v>
      </x:c>
      <x:c r="C10" s="12" t="str">
        <x:v>Text</x:v>
      </x:c>
    </x:row>
    <x:row r="11">
      <x:c r="A11" s="12" t="str">
        <x:v>Sub_Category</x:v>
      </x:c>
      <x:c r="B11" s="12" t="str">
        <x:v>Product sub-category</x:v>
      </x:c>
      <x:c r="C11" s="12" t="str">
        <x:v>Text</x:v>
      </x:c>
    </x:row>
    <x:row r="12">
      <x:c r="A12" s="12" t="str">
        <x:v>Product</x:v>
      </x:c>
      <x:c r="B12" s="12" t="str">
        <x:v>Product name</x:v>
      </x:c>
      <x:c r="C12" s="12" t="str">
        <x:v>Text</x:v>
      </x:c>
    </x:row>
    <x:row r="13">
      <x:c r="A13" s="12" t="str">
        <x:v>Quantity</x:v>
      </x:c>
      <x:c r="B13" s="12" t="str">
        <x:v>Units sold</x:v>
      </x:c>
      <x:c r="C13" s="12" t="str">
        <x:v>Whole Number</x:v>
      </x:c>
    </x:row>
    <x:row r="14">
      <x:c r="A14" s="12" t="str">
        <x:v>Unit_Price</x:v>
      </x:c>
      <x:c r="B14" s="12" t="str">
        <x:v>Selling price per unit</x:v>
      </x:c>
      <x:c r="C14" s="12" t="str">
        <x:v>Currency</x:v>
      </x:c>
    </x:row>
    <x:row r="15">
      <x:c r="A15" s="12" t="str">
        <x:v>Discount</x:v>
      </x:c>
      <x:c r="B15" s="12" t="str">
        <x:v>Discount percentage</x:v>
      </x:c>
      <x:c r="C15" s="12" t="str">
        <x:v>Percentage</x:v>
      </x:c>
    </x:row>
    <x:row r="16">
      <x:c r="A16" s="12" t="str">
        <x:v>Cost_Per_Unit</x:v>
      </x:c>
      <x:c r="B16" s="12" t="str">
        <x:v>Estimated cost per unit</x:v>
      </x:c>
      <x:c r="C16" s="12" t="str">
        <x:v>Currency</x:v>
      </x:c>
    </x:row>
    <x:row r="17">
      <x:c r="A17" s="12" t="str">
        <x:v>Sales</x:v>
      </x:c>
      <x:c r="B17" s="12" t="str">
        <x:v>Quantity × Unit Price × (1 - Discount)</x:v>
      </x:c>
      <x:c r="C17" s="12" t="str">
        <x:v>Currency</x:v>
      </x:c>
    </x:row>
    <x:row r="18">
      <x:c r="A18" s="12" t="str">
        <x:v>Cost</x:v>
      </x:c>
      <x:c r="B18" s="12" t="str">
        <x:v>Quantity × Cost Per Unit</x:v>
      </x:c>
      <x:c r="C18" s="12" t="str">
        <x:v>Currency</x:v>
      </x:c>
    </x:row>
    <x:row r="19">
      <x:c r="A19" s="12" t="str">
        <x:v>Profit</x:v>
      </x:c>
      <x:c r="B19" s="12" t="str">
        <x:v>Sales - Cost</x:v>
      </x:c>
      <x:c r="C19" s="12" t="str">
        <x:v>Currency</x:v>
      </x:c>
    </x:row>
    <x:row r="20">
      <x:c r="A20" s="12" t="str">
        <x:v>Payment_Mode</x:v>
      </x:c>
      <x:c r="B20" s="12" t="str">
        <x:v>Payment method</x:v>
      </x:c>
      <x:c r="C20" s="12" t="str">
        <x:v>Text</x:v>
      </x:c>
    </x:row>
    <x:row r="21">
      <x:c r="A21" s="12" t="str">
        <x:v>Customer_Segment</x:v>
      </x:c>
      <x:c r="B21" s="12" t="str">
        <x:v>Consumer/Corporate/Home Office</x:v>
      </x:c>
      <x:c r="C21" s="12" t="str">
        <x:v>Text</x:v>
      </x:c>
    </x:row>
    <x:row r="22">
      <x:c r="A22" s="12" t="str">
        <x:v>Sales_Channel</x:v>
      </x:c>
      <x:c r="B22" s="12" t="str">
        <x:v>Online/App/Retail</x:v>
      </x:c>
      <x:c r="C22" s="12" t="str">
        <x:v>Text</x:v>
      </x:c>
    </x:row>
  </x:sheetData>
  <x:pageMargins left="0.7" right="0.7" top="0.75" bottom="0.75" header="0.3" footer="0.3"/>
</x:worksheet>
</file>